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ftg\Desktop\dp2\"/>
    </mc:Choice>
  </mc:AlternateContent>
  <xr:revisionPtr revIDLastSave="0" documentId="13_ncr:1_{FED8F987-4F58-4FFE-A858-FC9CE9AB015B}" xr6:coauthVersionLast="47" xr6:coauthVersionMax="47" xr10:uidLastSave="{00000000-0000-0000-0000-000000000000}"/>
  <bookViews>
    <workbookView xWindow="-103" yWindow="-103" windowWidth="24892" windowHeight="14914" xr2:uid="{31C68DC2-DE22-4FC9-A10C-789D834B0015}"/>
  </bookViews>
  <sheets>
    <sheet name="otopné období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17" i="1"/>
  <c r="M16" i="1"/>
  <c r="M15" i="1"/>
  <c r="M14" i="1"/>
  <c r="M13" i="1"/>
  <c r="M12" i="1"/>
  <c r="M11" i="1"/>
  <c r="M10" i="1"/>
  <c r="M9" i="1"/>
  <c r="M8" i="1"/>
  <c r="M7" i="1"/>
  <c r="H69" i="1"/>
  <c r="I34" i="1"/>
  <c r="I35" i="1"/>
  <c r="I36" i="1"/>
  <c r="I32" i="1"/>
  <c r="I33" i="1"/>
  <c r="B6" i="1"/>
  <c r="Q8" i="1" s="1"/>
  <c r="P18" i="1"/>
  <c r="P17" i="1"/>
  <c r="P16" i="1"/>
  <c r="P15" i="1"/>
  <c r="P14" i="1"/>
  <c r="P13" i="1"/>
  <c r="P12" i="1"/>
  <c r="P11" i="1"/>
  <c r="P10" i="1"/>
  <c r="P9" i="1"/>
  <c r="P8" i="1"/>
  <c r="P7" i="1"/>
  <c r="Q13" i="1"/>
  <c r="Q14" i="1"/>
  <c r="B10" i="1"/>
  <c r="B9" i="1"/>
  <c r="O8" i="1"/>
  <c r="O9" i="1"/>
  <c r="O10" i="1"/>
  <c r="O11" i="1"/>
  <c r="O12" i="1"/>
  <c r="O13" i="1"/>
  <c r="O14" i="1"/>
  <c r="O15" i="1"/>
  <c r="O16" i="1"/>
  <c r="O17" i="1"/>
  <c r="O18" i="1"/>
  <c r="O7" i="1"/>
  <c r="X8" i="1"/>
  <c r="X9" i="1"/>
  <c r="X10" i="1"/>
  <c r="X11" i="1"/>
  <c r="X12" i="1"/>
  <c r="X13" i="1"/>
  <c r="X14" i="1"/>
  <c r="X15" i="1"/>
  <c r="X16" i="1"/>
  <c r="X17" i="1"/>
  <c r="X18" i="1"/>
  <c r="X7" i="1"/>
  <c r="I7" i="1" s="1"/>
  <c r="R18" i="2"/>
  <c r="I18" i="2" s="1"/>
  <c r="M18" i="2"/>
  <c r="G18" i="2"/>
  <c r="N18" i="2" s="1"/>
  <c r="R17" i="2"/>
  <c r="M17" i="2"/>
  <c r="I17" i="2"/>
  <c r="G17" i="2"/>
  <c r="N17" i="2" s="1"/>
  <c r="R16" i="2"/>
  <c r="I16" i="2" s="1"/>
  <c r="M16" i="2"/>
  <c r="G16" i="2"/>
  <c r="N16" i="2" s="1"/>
  <c r="R15" i="2"/>
  <c r="M15" i="2"/>
  <c r="I15" i="2"/>
  <c r="G15" i="2"/>
  <c r="N15" i="2" s="1"/>
  <c r="R14" i="2"/>
  <c r="I14" i="2" s="1"/>
  <c r="M14" i="2"/>
  <c r="G14" i="2"/>
  <c r="N14" i="2" s="1"/>
  <c r="R13" i="2"/>
  <c r="M13" i="2"/>
  <c r="I13" i="2"/>
  <c r="G13" i="2"/>
  <c r="N13" i="2" s="1"/>
  <c r="R12" i="2"/>
  <c r="I12" i="2" s="1"/>
  <c r="M12" i="2"/>
  <c r="G12" i="2"/>
  <c r="N12" i="2" s="1"/>
  <c r="R11" i="2"/>
  <c r="M11" i="2"/>
  <c r="I11" i="2"/>
  <c r="G11" i="2"/>
  <c r="N11" i="2" s="1"/>
  <c r="B11" i="2"/>
  <c r="L18" i="2" s="1"/>
  <c r="R10" i="2"/>
  <c r="I10" i="2" s="1"/>
  <c r="M10" i="2"/>
  <c r="G10" i="2"/>
  <c r="N10" i="2" s="1"/>
  <c r="B10" i="2"/>
  <c r="H18" i="2" s="1"/>
  <c r="R9" i="2"/>
  <c r="M9" i="2"/>
  <c r="I9" i="2"/>
  <c r="G9" i="2"/>
  <c r="N9" i="2" s="1"/>
  <c r="B9" i="2"/>
  <c r="R8" i="2"/>
  <c r="M8" i="2"/>
  <c r="I8" i="2"/>
  <c r="G8" i="2"/>
  <c r="N8" i="2" s="1"/>
  <c r="R7" i="2"/>
  <c r="N7" i="2"/>
  <c r="M7" i="2"/>
  <c r="J7" i="2"/>
  <c r="I7" i="2"/>
  <c r="H7" i="2"/>
  <c r="G7" i="2"/>
  <c r="B11" i="1"/>
  <c r="G8" i="1"/>
  <c r="G9" i="1"/>
  <c r="G10" i="1"/>
  <c r="G11" i="1"/>
  <c r="G12" i="1"/>
  <c r="G13" i="1"/>
  <c r="G14" i="1"/>
  <c r="G15" i="1"/>
  <c r="Q15" i="1" s="1"/>
  <c r="G16" i="1"/>
  <c r="Q16" i="1" s="1"/>
  <c r="G17" i="1"/>
  <c r="Q17" i="1" s="1"/>
  <c r="G18" i="1"/>
  <c r="Q18" i="1" s="1"/>
  <c r="G7" i="1"/>
  <c r="Q7" i="1" s="1"/>
  <c r="Q12" i="1" l="1"/>
  <c r="Q11" i="1"/>
  <c r="Q9" i="1"/>
  <c r="Q10" i="1"/>
  <c r="I10" i="1"/>
  <c r="I13" i="1"/>
  <c r="I12" i="1"/>
  <c r="I11" i="1"/>
  <c r="I9" i="1"/>
  <c r="I14" i="1"/>
  <c r="I15" i="1"/>
  <c r="I8" i="1"/>
  <c r="I18" i="1"/>
  <c r="I17" i="1"/>
  <c r="I16" i="1"/>
  <c r="H9" i="2"/>
  <c r="K7" i="2"/>
  <c r="O7" i="2" s="1"/>
  <c r="J9" i="2"/>
  <c r="H11" i="2"/>
  <c r="H13" i="2"/>
  <c r="H15" i="2"/>
  <c r="H17" i="2"/>
  <c r="L7" i="2"/>
  <c r="K9" i="2"/>
  <c r="L9" i="2"/>
  <c r="J11" i="2"/>
  <c r="J13" i="2"/>
  <c r="J15" i="2"/>
  <c r="J17" i="2"/>
  <c r="K11" i="2"/>
  <c r="K13" i="2"/>
  <c r="K15" i="2"/>
  <c r="K17" i="2"/>
  <c r="L11" i="2"/>
  <c r="L13" i="2"/>
  <c r="L15" i="2"/>
  <c r="L17" i="2"/>
  <c r="H8" i="2"/>
  <c r="J8" i="2"/>
  <c r="H10" i="2"/>
  <c r="K8" i="2"/>
  <c r="H12" i="2"/>
  <c r="H14" i="2"/>
  <c r="H16" i="2"/>
  <c r="L8" i="2"/>
  <c r="J10" i="2"/>
  <c r="K10" i="2"/>
  <c r="J12" i="2"/>
  <c r="J14" i="2"/>
  <c r="J16" i="2"/>
  <c r="J18" i="2"/>
  <c r="O18" i="2" s="1"/>
  <c r="L10" i="2"/>
  <c r="K12" i="2"/>
  <c r="K14" i="2"/>
  <c r="K16" i="2"/>
  <c r="K18" i="2"/>
  <c r="L12" i="2"/>
  <c r="L14" i="2"/>
  <c r="L16" i="2"/>
  <c r="K11" i="1"/>
  <c r="K10" i="1"/>
  <c r="K7" i="1"/>
  <c r="S7" i="1" s="1"/>
  <c r="K18" i="1"/>
  <c r="K12" i="1"/>
  <c r="J17" i="1"/>
  <c r="J18" i="1"/>
  <c r="J16" i="1"/>
  <c r="J15" i="1"/>
  <c r="K16" i="1"/>
  <c r="J14" i="1"/>
  <c r="J8" i="1"/>
  <c r="N16" i="1"/>
  <c r="K15" i="1"/>
  <c r="K14" i="1"/>
  <c r="K13" i="1"/>
  <c r="J9" i="1"/>
  <c r="L9" i="1"/>
  <c r="J11" i="1"/>
  <c r="J7" i="1"/>
  <c r="K8" i="1"/>
  <c r="K17" i="1"/>
  <c r="J13" i="1"/>
  <c r="J12" i="1"/>
  <c r="J10" i="1"/>
  <c r="K9" i="1"/>
  <c r="L8" i="1"/>
  <c r="N15" i="1"/>
  <c r="N13" i="1"/>
  <c r="N14" i="1"/>
  <c r="L10" i="1"/>
  <c r="N8" i="1"/>
  <c r="L7" i="1"/>
  <c r="L17" i="1"/>
  <c r="N12" i="1"/>
  <c r="N11" i="1"/>
  <c r="N10" i="1"/>
  <c r="L18" i="1"/>
  <c r="L16" i="1"/>
  <c r="L15" i="1"/>
  <c r="L14" i="1"/>
  <c r="N7" i="1"/>
  <c r="L13" i="1"/>
  <c r="N18" i="1"/>
  <c r="N9" i="1"/>
  <c r="L12" i="1"/>
  <c r="N17" i="1"/>
  <c r="L11" i="1"/>
  <c r="S9" i="1" l="1"/>
  <c r="T9" i="1" s="1"/>
  <c r="S12" i="1"/>
  <c r="T12" i="1" s="1"/>
  <c r="S16" i="1"/>
  <c r="T16" i="1" s="1"/>
  <c r="S17" i="1"/>
  <c r="T17" i="1" s="1"/>
  <c r="S18" i="1"/>
  <c r="T18" i="1" s="1"/>
  <c r="S8" i="1"/>
  <c r="T8" i="1" s="1"/>
  <c r="S15" i="1"/>
  <c r="T15" i="1" s="1"/>
  <c r="S14" i="1"/>
  <c r="T14" i="1" s="1"/>
  <c r="S11" i="1"/>
  <c r="T11" i="1" s="1"/>
  <c r="S13" i="1"/>
  <c r="T13" i="1" s="1"/>
  <c r="S10" i="1"/>
  <c r="T10" i="1" s="1"/>
  <c r="T7" i="1"/>
  <c r="R11" i="1"/>
  <c r="R9" i="1"/>
  <c r="R8" i="1"/>
  <c r="R10" i="1"/>
  <c r="R15" i="1"/>
  <c r="R18" i="1"/>
  <c r="R13" i="1"/>
  <c r="R14" i="1"/>
  <c r="R16" i="1"/>
  <c r="R17" i="1"/>
  <c r="R12" i="1"/>
  <c r="R7" i="1"/>
  <c r="O12" i="2"/>
  <c r="O15" i="2"/>
  <c r="O13" i="2"/>
  <c r="O11" i="2"/>
  <c r="O8" i="2"/>
  <c r="O16" i="2"/>
  <c r="O14" i="2"/>
  <c r="O17" i="2"/>
  <c r="O10" i="2"/>
  <c r="O9" i="2"/>
  <c r="U11" i="1" l="1"/>
  <c r="U15" i="1"/>
  <c r="U17" i="1"/>
  <c r="U10" i="1"/>
  <c r="U14" i="1"/>
  <c r="U13" i="1"/>
  <c r="U18" i="1"/>
  <c r="U12" i="1"/>
  <c r="U9" i="1"/>
  <c r="U16" i="1"/>
  <c r="U8" i="1"/>
  <c r="U7" i="1"/>
  <c r="F25" i="1" l="1"/>
  <c r="I25" i="1" s="1"/>
  <c r="F24" i="1"/>
  <c r="I24" i="1" s="1"/>
  <c r="I26" i="1" l="1"/>
</calcChain>
</file>

<file path=xl/sharedStrings.xml><?xml version="1.0" encoding="utf-8"?>
<sst xmlns="http://schemas.openxmlformats.org/spreadsheetml/2006/main" count="182" uniqueCount="115">
  <si>
    <t>Q=U×S×ΔT</t>
  </si>
  <si>
    <t>okno</t>
  </si>
  <si>
    <t>zeď</t>
  </si>
  <si>
    <t>ΔT</t>
  </si>
  <si>
    <t>lidé</t>
  </si>
  <si>
    <t>počítače</t>
  </si>
  <si>
    <t>T návrh</t>
  </si>
  <si>
    <t>měsíce</t>
  </si>
  <si>
    <t>leden</t>
  </si>
  <si>
    <t> únor</t>
  </si>
  <si>
    <t> březen</t>
  </si>
  <si>
    <t> duben</t>
  </si>
  <si>
    <t> květen</t>
  </si>
  <si>
    <t> červen</t>
  </si>
  <si>
    <t> červenec</t>
  </si>
  <si>
    <t> srpen</t>
  </si>
  <si>
    <t> září</t>
  </si>
  <si>
    <t> říjen</t>
  </si>
  <si>
    <t> listopad</t>
  </si>
  <si>
    <t> prosinec</t>
  </si>
  <si>
    <t>teplota průměr</t>
  </si>
  <si>
    <t>celkem</t>
  </si>
  <si>
    <t>počet lidí</t>
  </si>
  <si>
    <t>rozdíl teplot</t>
  </si>
  <si>
    <t>ks</t>
  </si>
  <si>
    <t>skleníkový efekt sklo</t>
  </si>
  <si>
    <t>T</t>
  </si>
  <si>
    <t>Q=N×Q</t>
  </si>
  <si>
    <t>[W]</t>
  </si>
  <si>
    <t>plocha okna</t>
  </si>
  <si>
    <t>plocha zdi</t>
  </si>
  <si>
    <t>povoz</t>
  </si>
  <si>
    <t>% dne</t>
  </si>
  <si>
    <t>Q=A×I×g</t>
  </si>
  <si>
    <t>prostup</t>
  </si>
  <si>
    <t>provoz</t>
  </si>
  <si>
    <t>konstanty</t>
  </si>
  <si>
    <t>[°C]</t>
  </si>
  <si>
    <t>°C</t>
  </si>
  <si>
    <t>m²</t>
  </si>
  <si>
    <t>W/(m2*K)</t>
  </si>
  <si>
    <t>světla</t>
  </si>
  <si>
    <t>H(i)_d</t>
  </si>
  <si>
    <t>H(i)_d: Average daily sum of global irradiation per square meter received by the modules of the given system (kWh/m2/d)</t>
  </si>
  <si>
    <t>W/m2</t>
  </si>
  <si>
    <t>**zdroj: PHOTOVOLTAIC GEOGRAPHICAL INFORMATION SYSTÉM, dostupné online: https://re.jrc.ec.europa.eu/pvg_tools/en/#PVP</t>
  </si>
  <si>
    <t>*okamžitý průměrný únik během průměrného dne</t>
  </si>
  <si>
    <t>l (východ)</t>
  </si>
  <si>
    <t>kWh/m2/d</t>
  </si>
  <si>
    <t>solární konstanty</t>
  </si>
  <si>
    <t xml:space="preserve"> Q=0,33 ×n×V×ΔT</t>
  </si>
  <si>
    <t>větrání (rek. min.)</t>
  </si>
  <si>
    <t>rekuperace</t>
  </si>
  <si>
    <t>[%]</t>
  </si>
  <si>
    <t>U (zeď)</t>
  </si>
  <si>
    <t>U (okno)</t>
  </si>
  <si>
    <t>referenční místnost budovy - obyčejná fasáda</t>
  </si>
  <si>
    <t>účinnost</t>
  </si>
  <si>
    <t>chlazení</t>
  </si>
  <si>
    <t>chlazení větráním</t>
  </si>
  <si>
    <t>topení</t>
  </si>
  <si>
    <t>referenční místnost budovy - fasáda, okamžitý průměrný únik během průměrného dne</t>
  </si>
  <si>
    <t>zdroj: PHOTOVOLTAIC GEOGRAPHICAL INFORMATION SYSTÉM, dostupné online: https://re.jrc.ec.europa.eu/pvg_tools/en/#PVP</t>
  </si>
  <si>
    <t>bez chlazení větráním</t>
  </si>
  <si>
    <t>rok</t>
  </si>
  <si>
    <t>Qs​=G⋅A⋅α</t>
  </si>
  <si>
    <t>Q=U⋅S⋅ΔT</t>
  </si>
  <si>
    <t>Q=A⋅I⋅g</t>
  </si>
  <si>
    <t>Q=N⋅Q</t>
  </si>
  <si>
    <t xml:space="preserve"> Q=0,33⋅n⋅V⋅ΔT</t>
  </si>
  <si>
    <t>[kWh/m2/d]</t>
  </si>
  <si>
    <t>[W/m2]</t>
  </si>
  <si>
    <t>suma</t>
  </si>
  <si>
    <t>vstupní energie [W]</t>
  </si>
  <si>
    <t>potřeba [W]</t>
  </si>
  <si>
    <t>vých/jih</t>
  </si>
  <si>
    <t>jih</t>
  </si>
  <si>
    <t>sever</t>
  </si>
  <si>
    <t>východ</t>
  </si>
  <si>
    <t>černý (0,8)</t>
  </si>
  <si>
    <t>bílý (0,25)</t>
  </si>
  <si>
    <t>vstupní energie pro</t>
  </si>
  <si>
    <t>skleníkový efekt skla</t>
  </si>
  <si>
    <t>otevírání oken</t>
  </si>
  <si>
    <t>větrání s rekup.</t>
  </si>
  <si>
    <t>objem vz. m.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</si>
  <si>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38"/>
        <scheme val="minor"/>
      </rPr>
      <t>/h</t>
    </r>
  </si>
  <si>
    <t>absorpční zisk</t>
  </si>
  <si>
    <t>koeficient</t>
  </si>
  <si>
    <t>rekuperace k. min.</t>
  </si>
  <si>
    <t>červenec</t>
  </si>
  <si>
    <t>únor</t>
  </si>
  <si>
    <t>březen</t>
  </si>
  <si>
    <t>duben</t>
  </si>
  <si>
    <t>květen</t>
  </si>
  <si>
    <t>červen</t>
  </si>
  <si>
    <t>srpen</t>
  </si>
  <si>
    <t>září</t>
  </si>
  <si>
    <t>říjen</t>
  </si>
  <si>
    <t>listopad</t>
  </si>
  <si>
    <t>prosinec</t>
  </si>
  <si>
    <t>absorce materiál zdi*</t>
  </si>
  <si>
    <t>světová strana (l)*</t>
  </si>
  <si>
    <t>*dynamické hodnoty na základě tabulky</t>
  </si>
  <si>
    <t>H(i)_d*</t>
  </si>
  <si>
    <t>teplota denní**</t>
  </si>
  <si>
    <t>** zdroj: Počasí statistiky pro Prahu, ČR; kurzy.cz; dostupné online: https://www.kurzy.cz/pocasi-v-ceske-republice/praha/statistiky/</t>
  </si>
  <si>
    <t>teplota průměr**</t>
  </si>
  <si>
    <t>strana</t>
  </si>
  <si>
    <t>s. strany (l)*</t>
  </si>
  <si>
    <t>strany</t>
  </si>
  <si>
    <t>* H(i)_d: Average daily sum of global irradiation per square meter received by the modules of the given system (kWh/m2/d)</t>
  </si>
  <si>
    <t>* zdroj: American Society of Heating, Refrigerating and Air-Conditioning Engineers; 2009 ASHRAE Handbook, 2009, dostupné z: https://cushman.host.dartmouth.edu/courses/engs44/SHGF-daily-totals.pdf</t>
  </si>
  <si>
    <t>bře. 48°N*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</si>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</sst>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rgb="FF323232"/>
      <name val="Inherit"/>
    </font>
    <font>
      <sz val="11"/>
      <color theme="0"/>
      <name val="Aptos Narrow"/>
      <family val="2"/>
      <charset val="238"/>
      <scheme val="minor"/>
    </font>
    <font>
      <b/>
      <sz val="10"/>
      <color rgb="FF323232"/>
      <name val="Inherit"/>
      <charset val="238"/>
    </font>
    <font>
      <sz val="10"/>
      <color rgb="FF323232"/>
      <name val="Inherit"/>
      <charset val="238"/>
    </font>
    <font>
      <sz val="11"/>
      <color theme="0" tint="-0.499984740745262"/>
      <name val="Aptos Narrow"/>
      <family val="2"/>
      <charset val="238"/>
      <scheme val="minor"/>
    </font>
    <font>
      <sz val="10"/>
      <color theme="0" tint="-0.499984740745262"/>
      <name val="Inherit"/>
    </font>
    <font>
      <b/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trike/>
      <sz val="11"/>
      <color theme="1"/>
      <name val="Aptos Narrow"/>
      <family val="2"/>
      <charset val="238"/>
      <scheme val="minor"/>
    </font>
    <font>
      <strike/>
      <sz val="10"/>
      <color rgb="FF323232"/>
      <name val="Inherit"/>
    </font>
    <font>
      <vertAlign val="superscript"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82D5FE"/>
        <bgColor indexed="64"/>
      </patternFill>
    </fill>
    <fill>
      <patternFill patternType="solid">
        <fgColor rgb="FFB0E4FE"/>
        <bgColor indexed="64"/>
      </patternFill>
    </fill>
    <fill>
      <patternFill patternType="solid">
        <fgColor rgb="FFFFF9DD"/>
        <bgColor indexed="64"/>
      </patternFill>
    </fill>
    <fill>
      <patternFill patternType="solid">
        <fgColor rgb="FFFFEC8B"/>
        <bgColor indexed="64"/>
      </patternFill>
    </fill>
    <fill>
      <patternFill patternType="solid">
        <fgColor rgb="FFFFD711"/>
        <bgColor indexed="64"/>
      </patternFill>
    </fill>
    <fill>
      <patternFill patternType="solid">
        <fgColor rgb="FFFAC400"/>
        <bgColor indexed="64"/>
      </patternFill>
    </fill>
    <fill>
      <patternFill patternType="solid">
        <fgColor rgb="FFFAB900"/>
        <bgColor indexed="64"/>
      </patternFill>
    </fill>
    <fill>
      <patternFill patternType="solid">
        <fgColor rgb="FFFFD211"/>
        <bgColor indexed="64"/>
      </patternFill>
    </fill>
    <fill>
      <patternFill patternType="solid">
        <fgColor rgb="FFD9F2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0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righ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righ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righ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righ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0" fillId="0" borderId="1" xfId="0" applyBorder="1"/>
    <xf numFmtId="0" fontId="2" fillId="2" borderId="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horizontal="right" vertical="center" wrapText="1"/>
    </xf>
    <xf numFmtId="0" fontId="2" fillId="7" borderId="0" xfId="0" applyFont="1" applyFill="1" applyAlignment="1">
      <alignment horizontal="right" vertical="center" wrapText="1"/>
    </xf>
    <xf numFmtId="0" fontId="2" fillId="8" borderId="0" xfId="0" applyFont="1" applyFill="1" applyAlignment="1">
      <alignment horizontal="right" vertical="center" wrapText="1"/>
    </xf>
    <xf numFmtId="0" fontId="2" fillId="9" borderId="0" xfId="0" applyFont="1" applyFill="1" applyAlignment="1">
      <alignment horizontal="right" vertical="center" wrapText="1"/>
    </xf>
    <xf numFmtId="0" fontId="2" fillId="10" borderId="0" xfId="0" applyFont="1" applyFill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7" xfId="0" applyBorder="1"/>
    <xf numFmtId="1" fontId="0" fillId="0" borderId="2" xfId="0" applyNumberFormat="1" applyBorder="1"/>
    <xf numFmtId="164" fontId="0" fillId="0" borderId="0" xfId="0" applyNumberFormat="1"/>
    <xf numFmtId="1" fontId="0" fillId="0" borderId="0" xfId="0" applyNumberFormat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/>
    </xf>
    <xf numFmtId="1" fontId="2" fillId="2" borderId="2" xfId="0" applyNumberFormat="1" applyFont="1" applyFill="1" applyBorder="1" applyAlignment="1">
      <alignment horizontal="right" vertical="center" wrapText="1"/>
    </xf>
    <xf numFmtId="1" fontId="2" fillId="3" borderId="0" xfId="0" applyNumberFormat="1" applyFont="1" applyFill="1" applyAlignment="1">
      <alignment horizontal="right" vertical="center" wrapText="1"/>
    </xf>
    <xf numFmtId="1" fontId="2" fillId="4" borderId="0" xfId="0" applyNumberFormat="1" applyFont="1" applyFill="1" applyAlignment="1">
      <alignment horizontal="right" vertical="center" wrapText="1"/>
    </xf>
    <xf numFmtId="1" fontId="2" fillId="5" borderId="0" xfId="0" applyNumberFormat="1" applyFont="1" applyFill="1" applyAlignment="1">
      <alignment horizontal="right" vertical="center" wrapText="1"/>
    </xf>
    <xf numFmtId="1" fontId="2" fillId="6" borderId="0" xfId="0" applyNumberFormat="1" applyFont="1" applyFill="1" applyAlignment="1">
      <alignment horizontal="right" vertical="center" wrapText="1"/>
    </xf>
    <xf numFmtId="1" fontId="2" fillId="7" borderId="0" xfId="0" applyNumberFormat="1" applyFont="1" applyFill="1" applyAlignment="1">
      <alignment horizontal="right" vertical="center" wrapText="1"/>
    </xf>
    <xf numFmtId="1" fontId="2" fillId="8" borderId="0" xfId="0" applyNumberFormat="1" applyFont="1" applyFill="1" applyAlignment="1">
      <alignment horizontal="right" vertical="center" wrapText="1"/>
    </xf>
    <xf numFmtId="1" fontId="2" fillId="9" borderId="0" xfId="0" applyNumberFormat="1" applyFont="1" applyFill="1" applyAlignment="1">
      <alignment horizontal="right" vertical="center" wrapText="1"/>
    </xf>
    <xf numFmtId="1" fontId="2" fillId="10" borderId="0" xfId="0" applyNumberFormat="1" applyFont="1" applyFill="1" applyAlignment="1">
      <alignment horizontal="right" vertical="center" wrapText="1"/>
    </xf>
    <xf numFmtId="1" fontId="2" fillId="3" borderId="7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right" vertical="center" wrapText="1"/>
    </xf>
    <xf numFmtId="0" fontId="2" fillId="7" borderId="4" xfId="0" applyFont="1" applyFill="1" applyBorder="1" applyAlignment="1">
      <alignment horizontal="right" vertical="center" wrapText="1"/>
    </xf>
    <xf numFmtId="0" fontId="2" fillId="8" borderId="4" xfId="0" applyFont="1" applyFill="1" applyBorder="1" applyAlignment="1">
      <alignment horizontal="right" vertical="center" wrapText="1"/>
    </xf>
    <xf numFmtId="0" fontId="2" fillId="9" borderId="4" xfId="0" applyFont="1" applyFill="1" applyBorder="1" applyAlignment="1">
      <alignment horizontal="right" vertical="center" wrapText="1"/>
    </xf>
    <xf numFmtId="0" fontId="2" fillId="10" borderId="4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1" fontId="2" fillId="2" borderId="3" xfId="0" applyNumberFormat="1" applyFont="1" applyFill="1" applyBorder="1" applyAlignment="1">
      <alignment horizontal="right" vertical="center" wrapText="1"/>
    </xf>
    <xf numFmtId="1" fontId="2" fillId="3" borderId="4" xfId="0" applyNumberFormat="1" applyFont="1" applyFill="1" applyBorder="1" applyAlignment="1">
      <alignment horizontal="right" vertical="center" wrapText="1"/>
    </xf>
    <xf numFmtId="1" fontId="2" fillId="3" borderId="5" xfId="0" applyNumberFormat="1" applyFont="1" applyFill="1" applyBorder="1" applyAlignment="1">
      <alignment horizontal="right" vertical="center" wrapText="1"/>
    </xf>
    <xf numFmtId="1" fontId="2" fillId="4" borderId="4" xfId="0" applyNumberFormat="1" applyFont="1" applyFill="1" applyBorder="1" applyAlignment="1">
      <alignment horizontal="right" vertical="center" wrapText="1"/>
    </xf>
    <xf numFmtId="1" fontId="2" fillId="4" borderId="5" xfId="0" applyNumberFormat="1" applyFont="1" applyFill="1" applyBorder="1" applyAlignment="1">
      <alignment horizontal="right" vertical="center" wrapText="1"/>
    </xf>
    <xf numFmtId="1" fontId="2" fillId="5" borderId="4" xfId="0" applyNumberFormat="1" applyFont="1" applyFill="1" applyBorder="1" applyAlignment="1">
      <alignment horizontal="right" vertical="center" wrapText="1"/>
    </xf>
    <xf numFmtId="1" fontId="2" fillId="5" borderId="5" xfId="0" applyNumberFormat="1" applyFont="1" applyFill="1" applyBorder="1" applyAlignment="1">
      <alignment horizontal="right" vertical="center" wrapText="1"/>
    </xf>
    <xf numFmtId="1" fontId="2" fillId="6" borderId="4" xfId="0" applyNumberFormat="1" applyFont="1" applyFill="1" applyBorder="1" applyAlignment="1">
      <alignment horizontal="right" vertical="center" wrapText="1"/>
    </xf>
    <xf numFmtId="1" fontId="2" fillId="6" borderId="5" xfId="0" applyNumberFormat="1" applyFont="1" applyFill="1" applyBorder="1" applyAlignment="1">
      <alignment horizontal="right" vertical="center" wrapText="1"/>
    </xf>
    <xf numFmtId="1" fontId="2" fillId="7" borderId="4" xfId="0" applyNumberFormat="1" applyFont="1" applyFill="1" applyBorder="1" applyAlignment="1">
      <alignment horizontal="right" vertical="center" wrapText="1"/>
    </xf>
    <xf numFmtId="1" fontId="2" fillId="7" borderId="5" xfId="0" applyNumberFormat="1" applyFont="1" applyFill="1" applyBorder="1" applyAlignment="1">
      <alignment horizontal="right" vertical="center" wrapText="1"/>
    </xf>
    <xf numFmtId="1" fontId="2" fillId="8" borderId="4" xfId="0" applyNumberFormat="1" applyFont="1" applyFill="1" applyBorder="1" applyAlignment="1">
      <alignment horizontal="right" vertical="center" wrapText="1"/>
    </xf>
    <xf numFmtId="1" fontId="2" fillId="8" borderId="5" xfId="0" applyNumberFormat="1" applyFont="1" applyFill="1" applyBorder="1" applyAlignment="1">
      <alignment horizontal="right" vertical="center" wrapText="1"/>
    </xf>
    <xf numFmtId="1" fontId="2" fillId="9" borderId="4" xfId="0" applyNumberFormat="1" applyFont="1" applyFill="1" applyBorder="1" applyAlignment="1">
      <alignment horizontal="right" vertical="center" wrapText="1"/>
    </xf>
    <xf numFmtId="1" fontId="2" fillId="9" borderId="5" xfId="0" applyNumberFormat="1" applyFont="1" applyFill="1" applyBorder="1" applyAlignment="1">
      <alignment horizontal="right" vertical="center" wrapText="1"/>
    </xf>
    <xf numFmtId="1" fontId="2" fillId="10" borderId="4" xfId="0" applyNumberFormat="1" applyFont="1" applyFill="1" applyBorder="1" applyAlignment="1">
      <alignment horizontal="right" vertical="center" wrapText="1"/>
    </xf>
    <xf numFmtId="1" fontId="2" fillId="10" borderId="5" xfId="0" applyNumberFormat="1" applyFont="1" applyFill="1" applyBorder="1" applyAlignment="1">
      <alignment horizontal="right" vertical="center" wrapText="1"/>
    </xf>
    <xf numFmtId="1" fontId="2" fillId="3" borderId="6" xfId="0" applyNumberFormat="1" applyFont="1" applyFill="1" applyBorder="1" applyAlignment="1">
      <alignment horizontal="right" vertical="center" wrapText="1"/>
    </xf>
    <xf numFmtId="1" fontId="2" fillId="3" borderId="8" xfId="0" applyNumberFormat="1" applyFont="1" applyFill="1" applyBorder="1" applyAlignment="1">
      <alignment horizontal="right" vertical="center" wrapText="1"/>
    </xf>
    <xf numFmtId="1" fontId="2" fillId="2" borderId="15" xfId="0" applyNumberFormat="1" applyFont="1" applyFill="1" applyBorder="1" applyAlignment="1">
      <alignment horizontal="right" vertical="center" wrapText="1"/>
    </xf>
    <xf numFmtId="1" fontId="2" fillId="3" borderId="9" xfId="0" applyNumberFormat="1" applyFont="1" applyFill="1" applyBorder="1" applyAlignment="1">
      <alignment horizontal="right" vertical="center" wrapText="1"/>
    </xf>
    <xf numFmtId="1" fontId="2" fillId="4" borderId="9" xfId="0" applyNumberFormat="1" applyFont="1" applyFill="1" applyBorder="1" applyAlignment="1">
      <alignment horizontal="right" vertical="center" wrapText="1"/>
    </xf>
    <xf numFmtId="1" fontId="2" fillId="5" borderId="9" xfId="0" applyNumberFormat="1" applyFont="1" applyFill="1" applyBorder="1" applyAlignment="1">
      <alignment horizontal="right" vertical="center" wrapText="1"/>
    </xf>
    <xf numFmtId="1" fontId="2" fillId="6" borderId="9" xfId="0" applyNumberFormat="1" applyFont="1" applyFill="1" applyBorder="1" applyAlignment="1">
      <alignment horizontal="right" vertical="center" wrapText="1"/>
    </xf>
    <xf numFmtId="1" fontId="2" fillId="7" borderId="9" xfId="0" applyNumberFormat="1" applyFont="1" applyFill="1" applyBorder="1" applyAlignment="1">
      <alignment horizontal="right" vertical="center" wrapText="1"/>
    </xf>
    <xf numFmtId="1" fontId="2" fillId="8" borderId="9" xfId="0" applyNumberFormat="1" applyFont="1" applyFill="1" applyBorder="1" applyAlignment="1">
      <alignment horizontal="right" vertical="center" wrapText="1"/>
    </xf>
    <xf numFmtId="1" fontId="2" fillId="9" borderId="9" xfId="0" applyNumberFormat="1" applyFont="1" applyFill="1" applyBorder="1" applyAlignment="1">
      <alignment horizontal="right" vertical="center" wrapText="1"/>
    </xf>
    <xf numFmtId="1" fontId="2" fillId="10" borderId="9" xfId="0" applyNumberFormat="1" applyFont="1" applyFill="1" applyBorder="1" applyAlignment="1">
      <alignment horizontal="right" vertical="center" wrapText="1"/>
    </xf>
    <xf numFmtId="1" fontId="2" fillId="3" borderId="10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4" fontId="2" fillId="4" borderId="4" xfId="0" applyNumberFormat="1" applyFont="1" applyFill="1" applyBorder="1" applyAlignment="1">
      <alignment horizontal="right" vertical="center" wrapText="1"/>
    </xf>
    <xf numFmtId="164" fontId="2" fillId="5" borderId="4" xfId="0" applyNumberFormat="1" applyFont="1" applyFill="1" applyBorder="1" applyAlignment="1">
      <alignment horizontal="right" vertical="center" wrapText="1"/>
    </xf>
    <xf numFmtId="164" fontId="2" fillId="6" borderId="4" xfId="0" applyNumberFormat="1" applyFont="1" applyFill="1" applyBorder="1" applyAlignment="1">
      <alignment horizontal="right" vertical="center" wrapText="1"/>
    </xf>
    <xf numFmtId="164" fontId="2" fillId="7" borderId="4" xfId="0" applyNumberFormat="1" applyFont="1" applyFill="1" applyBorder="1" applyAlignment="1">
      <alignment horizontal="right" vertical="center" wrapText="1"/>
    </xf>
    <xf numFmtId="164" fontId="2" fillId="8" borderId="4" xfId="0" applyNumberFormat="1" applyFont="1" applyFill="1" applyBorder="1" applyAlignment="1">
      <alignment horizontal="right" vertical="center" wrapText="1"/>
    </xf>
    <xf numFmtId="164" fontId="2" fillId="9" borderId="4" xfId="0" applyNumberFormat="1" applyFont="1" applyFill="1" applyBorder="1" applyAlignment="1">
      <alignment horizontal="right" vertical="center" wrapText="1"/>
    </xf>
    <xf numFmtId="164" fontId="2" fillId="10" borderId="4" xfId="0" applyNumberFormat="1" applyFont="1" applyFill="1" applyBorder="1" applyAlignment="1">
      <alignment horizontal="right" vertical="center" wrapText="1"/>
    </xf>
    <xf numFmtId="164" fontId="2" fillId="3" borderId="6" xfId="0" applyNumberFormat="1" applyFont="1" applyFill="1" applyBorder="1" applyAlignment="1">
      <alignment horizontal="right" vertical="center" wrapText="1"/>
    </xf>
    <xf numFmtId="1" fontId="4" fillId="4" borderId="9" xfId="0" applyNumberFormat="1" applyFont="1" applyFill="1" applyBorder="1" applyAlignment="1">
      <alignment horizontal="right" vertical="center" wrapText="1"/>
    </xf>
    <xf numFmtId="1" fontId="4" fillId="5" borderId="9" xfId="0" applyNumberFormat="1" applyFont="1" applyFill="1" applyBorder="1" applyAlignment="1">
      <alignment horizontal="right" vertical="center" wrapText="1"/>
    </xf>
    <xf numFmtId="1" fontId="4" fillId="6" borderId="9" xfId="0" applyNumberFormat="1" applyFont="1" applyFill="1" applyBorder="1" applyAlignment="1">
      <alignment horizontal="right" vertical="center" wrapText="1"/>
    </xf>
    <xf numFmtId="1" fontId="4" fillId="7" borderId="9" xfId="0" applyNumberFormat="1" applyFont="1" applyFill="1" applyBorder="1" applyAlignment="1">
      <alignment horizontal="right" vertical="center" wrapText="1"/>
    </xf>
    <xf numFmtId="1" fontId="4" fillId="8" borderId="9" xfId="0" applyNumberFormat="1" applyFont="1" applyFill="1" applyBorder="1" applyAlignment="1">
      <alignment horizontal="right" vertical="center" wrapText="1"/>
    </xf>
    <xf numFmtId="1" fontId="4" fillId="9" borderId="9" xfId="0" applyNumberFormat="1" applyFont="1" applyFill="1" applyBorder="1" applyAlignment="1">
      <alignment horizontal="right" vertical="center" wrapText="1"/>
    </xf>
    <xf numFmtId="1" fontId="7" fillId="2" borderId="15" xfId="0" applyNumberFormat="1" applyFont="1" applyFill="1" applyBorder="1" applyAlignment="1">
      <alignment horizontal="right" vertical="center" wrapText="1"/>
    </xf>
    <xf numFmtId="1" fontId="7" fillId="3" borderId="9" xfId="0" applyNumberFormat="1" applyFont="1" applyFill="1" applyBorder="1" applyAlignment="1">
      <alignment horizontal="right" vertical="center" wrapText="1"/>
    </xf>
    <xf numFmtId="1" fontId="7" fillId="4" borderId="9" xfId="0" applyNumberFormat="1" applyFont="1" applyFill="1" applyBorder="1" applyAlignment="1">
      <alignment horizontal="right" vertical="center" wrapText="1"/>
    </xf>
    <xf numFmtId="1" fontId="7" fillId="5" borderId="9" xfId="0" applyNumberFormat="1" applyFont="1" applyFill="1" applyBorder="1" applyAlignment="1">
      <alignment horizontal="right" vertical="center" wrapText="1"/>
    </xf>
    <xf numFmtId="1" fontId="7" fillId="6" borderId="9" xfId="0" applyNumberFormat="1" applyFont="1" applyFill="1" applyBorder="1" applyAlignment="1">
      <alignment horizontal="right" vertical="center" wrapText="1"/>
    </xf>
    <xf numFmtId="1" fontId="7" fillId="7" borderId="9" xfId="0" applyNumberFormat="1" applyFont="1" applyFill="1" applyBorder="1" applyAlignment="1">
      <alignment horizontal="right" vertical="center" wrapText="1"/>
    </xf>
    <xf numFmtId="1" fontId="7" fillId="8" borderId="9" xfId="0" applyNumberFormat="1" applyFont="1" applyFill="1" applyBorder="1" applyAlignment="1">
      <alignment horizontal="right" vertical="center" wrapText="1"/>
    </xf>
    <xf numFmtId="1" fontId="7" fillId="9" borderId="9" xfId="0" applyNumberFormat="1" applyFont="1" applyFill="1" applyBorder="1" applyAlignment="1">
      <alignment horizontal="right" vertical="center" wrapText="1"/>
    </xf>
    <xf numFmtId="1" fontId="7" fillId="10" borderId="9" xfId="0" applyNumberFormat="1" applyFont="1" applyFill="1" applyBorder="1" applyAlignment="1">
      <alignment horizontal="right" vertical="center" wrapText="1"/>
    </xf>
    <xf numFmtId="1" fontId="7" fillId="3" borderId="10" xfId="0" applyNumberFormat="1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1" fontId="2" fillId="3" borderId="12" xfId="0" applyNumberFormat="1" applyFont="1" applyFill="1" applyBorder="1" applyAlignment="1">
      <alignment horizontal="right" vertical="center" wrapText="1"/>
    </xf>
    <xf numFmtId="1" fontId="5" fillId="8" borderId="6" xfId="0" applyNumberFormat="1" applyFont="1" applyFill="1" applyBorder="1" applyAlignment="1">
      <alignment horizontal="right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1" fontId="2" fillId="5" borderId="5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" fontId="2" fillId="7" borderId="5" xfId="0" applyNumberFormat="1" applyFont="1" applyFill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horizontal="center" vertical="center" wrapText="1"/>
    </xf>
    <xf numFmtId="1" fontId="2" fillId="8" borderId="5" xfId="0" applyNumberFormat="1" applyFont="1" applyFill="1" applyBorder="1" applyAlignment="1">
      <alignment horizontal="center" vertical="center" wrapText="1"/>
    </xf>
    <xf numFmtId="164" fontId="2" fillId="9" borderId="4" xfId="0" applyNumberFormat="1" applyFont="1" applyFill="1" applyBorder="1" applyAlignment="1">
      <alignment horizontal="center" vertical="center" wrapText="1"/>
    </xf>
    <xf numFmtId="1" fontId="2" fillId="9" borderId="5" xfId="0" applyNumberFormat="1" applyFont="1" applyFill="1" applyBorder="1" applyAlignment="1">
      <alignment horizontal="center" vertical="center" wrapText="1"/>
    </xf>
    <xf numFmtId="164" fontId="2" fillId="10" borderId="4" xfId="0" applyNumberFormat="1" applyFont="1" applyFill="1" applyBorder="1" applyAlignment="1">
      <alignment horizontal="center" vertical="center" wrapText="1"/>
    </xf>
    <xf numFmtId="1" fontId="2" fillId="10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right" vertical="center" wrapText="1"/>
    </xf>
    <xf numFmtId="164" fontId="5" fillId="8" borderId="6" xfId="0" applyNumberFormat="1" applyFont="1" applyFill="1" applyBorder="1" applyAlignment="1">
      <alignment horizontal="right" vertical="center" wrapText="1"/>
    </xf>
    <xf numFmtId="1" fontId="2" fillId="3" borderId="11" xfId="0" applyNumberFormat="1" applyFont="1" applyFill="1" applyBorder="1" applyAlignment="1">
      <alignment horizontal="center" vertical="center" wrapText="1"/>
    </xf>
    <xf numFmtId="1" fontId="5" fillId="8" borderId="10" xfId="0" applyNumberFormat="1" applyFont="1" applyFill="1" applyBorder="1" applyAlignment="1">
      <alignment horizontal="center" vertical="center" wrapText="1"/>
    </xf>
    <xf numFmtId="0" fontId="10" fillId="11" borderId="12" xfId="0" applyFont="1" applyFill="1" applyBorder="1"/>
    <xf numFmtId="1" fontId="10" fillId="11" borderId="1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2" borderId="0" xfId="0" applyFill="1"/>
    <xf numFmtId="0" fontId="2" fillId="12" borderId="2" xfId="0" applyFont="1" applyFill="1" applyBorder="1" applyAlignment="1">
      <alignment horizontal="right" vertical="center" wrapText="1"/>
    </xf>
    <xf numFmtId="0" fontId="2" fillId="12" borderId="0" xfId="0" applyFont="1" applyFill="1" applyAlignment="1">
      <alignment horizontal="right" vertical="center" wrapText="1"/>
    </xf>
    <xf numFmtId="0" fontId="0" fillId="12" borderId="2" xfId="0" applyFill="1" applyBorder="1"/>
    <xf numFmtId="0" fontId="1" fillId="13" borderId="11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15" xfId="0" applyFill="1" applyBorder="1" applyAlignment="1">
      <alignment horizontal="center"/>
    </xf>
    <xf numFmtId="0" fontId="6" fillId="13" borderId="9" xfId="0" applyFont="1" applyFill="1" applyBorder="1" applyAlignment="1">
      <alignment horizontal="center" wrapText="1"/>
    </xf>
    <xf numFmtId="0" fontId="0" fillId="13" borderId="9" xfId="0" applyFill="1" applyBorder="1" applyAlignment="1">
      <alignment horizontal="center"/>
    </xf>
    <xf numFmtId="0" fontId="0" fillId="13" borderId="5" xfId="0" applyFill="1" applyBorder="1" applyAlignment="1">
      <alignment horizontal="center" wrapText="1"/>
    </xf>
    <xf numFmtId="0" fontId="0" fillId="13" borderId="8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1" fillId="14" borderId="12" xfId="0" applyFont="1" applyFill="1" applyBorder="1"/>
    <xf numFmtId="0" fontId="0" fillId="14" borderId="13" xfId="0" applyFill="1" applyBorder="1"/>
    <xf numFmtId="0" fontId="1" fillId="14" borderId="1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 wrapText="1"/>
    </xf>
    <xf numFmtId="0" fontId="1" fillId="14" borderId="15" xfId="0" applyFont="1" applyFill="1" applyBorder="1"/>
    <xf numFmtId="0" fontId="0" fillId="14" borderId="6" xfId="0" applyFill="1" applyBorder="1"/>
    <xf numFmtId="0" fontId="1" fillId="14" borderId="8" xfId="0" applyFont="1" applyFill="1" applyBorder="1" applyAlignment="1">
      <alignment horizontal="center" wrapText="1"/>
    </xf>
    <xf numFmtId="0" fontId="1" fillId="14" borderId="10" xfId="0" applyFont="1" applyFill="1" applyBorder="1"/>
    <xf numFmtId="0" fontId="0" fillId="14" borderId="2" xfId="0" applyFill="1" applyBorder="1"/>
    <xf numFmtId="0" fontId="0" fillId="14" borderId="14" xfId="0" applyFill="1" applyBorder="1"/>
    <xf numFmtId="0" fontId="1" fillId="14" borderId="12" xfId="0" applyFont="1" applyFill="1" applyBorder="1" applyAlignment="1">
      <alignment horizontal="center"/>
    </xf>
    <xf numFmtId="0" fontId="1" fillId="14" borderId="14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8" fillId="14" borderId="15" xfId="0" applyFont="1" applyFill="1" applyBorder="1" applyAlignment="1">
      <alignment horizontal="center"/>
    </xf>
    <xf numFmtId="0" fontId="9" fillId="14" borderId="12" xfId="0" applyFont="1" applyFill="1" applyBorder="1" applyAlignment="1">
      <alignment horizontal="center"/>
    </xf>
    <xf numFmtId="0" fontId="9" fillId="14" borderId="14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4" borderId="12" xfId="0" applyFont="1" applyFill="1" applyBorder="1" applyAlignment="1">
      <alignment horizontal="center"/>
    </xf>
    <xf numFmtId="164" fontId="1" fillId="14" borderId="11" xfId="0" applyNumberFormat="1" applyFont="1" applyFill="1" applyBorder="1" applyAlignment="1">
      <alignment horizontal="center"/>
    </xf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7" xfId="0" applyFill="1" applyBorder="1"/>
    <xf numFmtId="0" fontId="3" fillId="12" borderId="0" xfId="0" applyFont="1" applyFill="1"/>
    <xf numFmtId="0" fontId="0" fillId="12" borderId="0" xfId="0" applyFill="1" applyAlignment="1">
      <alignment horizontal="center"/>
    </xf>
    <xf numFmtId="0" fontId="13" fillId="12" borderId="0" xfId="0" applyFont="1" applyFill="1"/>
    <xf numFmtId="0" fontId="14" fillId="12" borderId="4" xfId="0" applyFont="1" applyFill="1" applyBorder="1"/>
    <xf numFmtId="0" fontId="14" fillId="12" borderId="5" xfId="0" applyFont="1" applyFill="1" applyBorder="1"/>
    <xf numFmtId="0" fontId="14" fillId="12" borderId="6" xfId="0" applyFont="1" applyFill="1" applyBorder="1"/>
    <xf numFmtId="2" fontId="14" fillId="12" borderId="7" xfId="0" applyNumberFormat="1" applyFont="1" applyFill="1" applyBorder="1"/>
    <xf numFmtId="0" fontId="14" fillId="12" borderId="8" xfId="0" applyFont="1" applyFill="1" applyBorder="1"/>
    <xf numFmtId="0" fontId="15" fillId="13" borderId="15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right" vertical="center" wrapText="1"/>
    </xf>
    <xf numFmtId="164" fontId="2" fillId="3" borderId="9" xfId="0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2" fillId="5" borderId="9" xfId="0" applyNumberFormat="1" applyFont="1" applyFill="1" applyBorder="1" applyAlignment="1">
      <alignment horizontal="right" vertical="center" wrapText="1"/>
    </xf>
    <xf numFmtId="164" fontId="2" fillId="6" borderId="9" xfId="0" applyNumberFormat="1" applyFont="1" applyFill="1" applyBorder="1" applyAlignment="1">
      <alignment horizontal="right" vertical="center" wrapText="1"/>
    </xf>
    <xf numFmtId="164" fontId="2" fillId="7" borderId="9" xfId="0" applyNumberFormat="1" applyFont="1" applyFill="1" applyBorder="1" applyAlignment="1">
      <alignment horizontal="right" vertical="center" wrapText="1"/>
    </xf>
    <xf numFmtId="164" fontId="2" fillId="8" borderId="9" xfId="0" applyNumberFormat="1" applyFont="1" applyFill="1" applyBorder="1" applyAlignment="1">
      <alignment horizontal="right" vertical="center" wrapText="1"/>
    </xf>
    <xf numFmtId="164" fontId="2" fillId="9" borderId="9" xfId="0" applyNumberFormat="1" applyFont="1" applyFill="1" applyBorder="1" applyAlignment="1">
      <alignment horizontal="right" vertical="center" wrapText="1"/>
    </xf>
    <xf numFmtId="164" fontId="2" fillId="10" borderId="9" xfId="0" applyNumberFormat="1" applyFont="1" applyFill="1" applyBorder="1" applyAlignment="1">
      <alignment horizontal="right" vertical="center" wrapText="1"/>
    </xf>
    <xf numFmtId="164" fontId="2" fillId="3" borderId="10" xfId="0" applyNumberFormat="1" applyFont="1" applyFill="1" applyBorder="1" applyAlignment="1">
      <alignment horizontal="right" vertical="center" wrapText="1"/>
    </xf>
    <xf numFmtId="1" fontId="16" fillId="2" borderId="15" xfId="0" applyNumberFormat="1" applyFont="1" applyFill="1" applyBorder="1" applyAlignment="1">
      <alignment horizontal="right" vertical="center" wrapText="1"/>
    </xf>
    <xf numFmtId="1" fontId="16" fillId="3" borderId="9" xfId="0" applyNumberFormat="1" applyFont="1" applyFill="1" applyBorder="1" applyAlignment="1">
      <alignment horizontal="right" vertical="center" wrapText="1"/>
    </xf>
    <xf numFmtId="1" fontId="16" fillId="4" borderId="9" xfId="0" applyNumberFormat="1" applyFont="1" applyFill="1" applyBorder="1" applyAlignment="1">
      <alignment horizontal="right" vertical="center" wrapText="1"/>
    </xf>
    <xf numFmtId="1" fontId="16" fillId="5" borderId="9" xfId="0" applyNumberFormat="1" applyFont="1" applyFill="1" applyBorder="1" applyAlignment="1">
      <alignment horizontal="right" vertical="center" wrapText="1"/>
    </xf>
    <xf numFmtId="1" fontId="16" fillId="6" borderId="9" xfId="0" applyNumberFormat="1" applyFont="1" applyFill="1" applyBorder="1" applyAlignment="1">
      <alignment horizontal="right" vertical="center" wrapText="1"/>
    </xf>
    <xf numFmtId="1" fontId="16" fillId="7" borderId="9" xfId="0" applyNumberFormat="1" applyFont="1" applyFill="1" applyBorder="1" applyAlignment="1">
      <alignment horizontal="right" vertical="center" wrapText="1"/>
    </xf>
    <xf numFmtId="1" fontId="16" fillId="8" borderId="9" xfId="0" applyNumberFormat="1" applyFont="1" applyFill="1" applyBorder="1" applyAlignment="1">
      <alignment horizontal="right" vertical="center" wrapText="1"/>
    </xf>
    <xf numFmtId="1" fontId="16" fillId="9" borderId="9" xfId="0" applyNumberFormat="1" applyFont="1" applyFill="1" applyBorder="1" applyAlignment="1">
      <alignment horizontal="right" vertical="center" wrapText="1"/>
    </xf>
    <xf numFmtId="1" fontId="16" fillId="10" borderId="9" xfId="0" applyNumberFormat="1" applyFont="1" applyFill="1" applyBorder="1" applyAlignment="1">
      <alignment horizontal="right" vertical="center" wrapText="1"/>
    </xf>
    <xf numFmtId="1" fontId="16" fillId="3" borderId="10" xfId="0" applyNumberFormat="1" applyFont="1" applyFill="1" applyBorder="1" applyAlignment="1">
      <alignment horizontal="right" vertical="center" wrapText="1"/>
    </xf>
    <xf numFmtId="0" fontId="0" fillId="12" borderId="0" xfId="0" applyFill="1" applyBorder="1"/>
    <xf numFmtId="1" fontId="0" fillId="12" borderId="0" xfId="0" applyNumberFormat="1" applyFill="1" applyBorder="1"/>
    <xf numFmtId="164" fontId="0" fillId="12" borderId="0" xfId="0" applyNumberFormat="1" applyFill="1" applyBorder="1"/>
    <xf numFmtId="2" fontId="14" fillId="12" borderId="0" xfId="0" applyNumberFormat="1" applyFont="1" applyFill="1" applyBorder="1"/>
    <xf numFmtId="0" fontId="2" fillId="3" borderId="0" xfId="0" applyFont="1" applyFill="1" applyBorder="1" applyAlignment="1">
      <alignment horizontal="right" vertical="center" wrapText="1"/>
    </xf>
    <xf numFmtId="0" fontId="2" fillId="4" borderId="0" xfId="0" applyFont="1" applyFill="1" applyBorder="1" applyAlignment="1">
      <alignment horizontal="right" vertical="center" wrapText="1"/>
    </xf>
    <xf numFmtId="0" fontId="2" fillId="5" borderId="0" xfId="0" applyFont="1" applyFill="1" applyBorder="1" applyAlignment="1">
      <alignment horizontal="right" vertical="center" wrapText="1"/>
    </xf>
    <xf numFmtId="0" fontId="2" fillId="6" borderId="0" xfId="0" applyFont="1" applyFill="1" applyBorder="1" applyAlignment="1">
      <alignment horizontal="right" vertical="center" wrapText="1"/>
    </xf>
    <xf numFmtId="0" fontId="2" fillId="7" borderId="0" xfId="0" applyFont="1" applyFill="1" applyBorder="1" applyAlignment="1">
      <alignment horizontal="right" vertical="center" wrapText="1"/>
    </xf>
    <xf numFmtId="0" fontId="2" fillId="8" borderId="0" xfId="0" applyFont="1" applyFill="1" applyBorder="1" applyAlignment="1">
      <alignment horizontal="right" vertical="center" wrapText="1"/>
    </xf>
    <xf numFmtId="0" fontId="2" fillId="9" borderId="0" xfId="0" applyFont="1" applyFill="1" applyBorder="1" applyAlignment="1">
      <alignment horizontal="right" vertical="center" wrapText="1"/>
    </xf>
    <xf numFmtId="0" fontId="2" fillId="10" borderId="0" xfId="0" applyFont="1" applyFill="1" applyBorder="1" applyAlignment="1">
      <alignment horizontal="right" vertical="center" wrapText="1"/>
    </xf>
    <xf numFmtId="0" fontId="1" fillId="14" borderId="15" xfId="0" applyFont="1" applyFill="1" applyBorder="1" applyAlignment="1">
      <alignment horizontal="center" wrapText="1"/>
    </xf>
    <xf numFmtId="0" fontId="1" fillId="14" borderId="10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" fontId="2" fillId="8" borderId="4" xfId="0" applyNumberFormat="1" applyFont="1" applyFill="1" applyBorder="1" applyAlignment="1">
      <alignment horizontal="center" vertical="center" wrapText="1"/>
    </xf>
    <xf numFmtId="1" fontId="2" fillId="9" borderId="4" xfId="0" applyNumberFormat="1" applyFont="1" applyFill="1" applyBorder="1" applyAlignment="1">
      <alignment horizontal="center" vertical="center" wrapText="1"/>
    </xf>
    <xf numFmtId="1" fontId="2" fillId="10" borderId="4" xfId="0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/>
    </xf>
    <xf numFmtId="0" fontId="1" fillId="13" borderId="15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2" fontId="0" fillId="12" borderId="0" xfId="0" applyNumberFormat="1" applyFill="1" applyBorder="1" applyAlignment="1">
      <alignment horizontal="center"/>
    </xf>
    <xf numFmtId="2" fontId="6" fillId="12" borderId="0" xfId="0" applyNumberFormat="1" applyFont="1" applyFill="1" applyBorder="1" applyAlignment="1">
      <alignment horizontal="center"/>
    </xf>
    <xf numFmtId="0" fontId="0" fillId="0" borderId="0" xfId="0" applyAlignment="1">
      <alignment vertical="top"/>
    </xf>
    <xf numFmtId="9" fontId="0" fillId="12" borderId="2" xfId="1" applyFont="1" applyFill="1" applyBorder="1"/>
    <xf numFmtId="1" fontId="11" fillId="12" borderId="2" xfId="0" applyNumberFormat="1" applyFont="1" applyFill="1" applyBorder="1" applyAlignment="1">
      <alignment horizontal="center"/>
    </xf>
    <xf numFmtId="1" fontId="11" fillId="12" borderId="0" xfId="0" applyNumberFormat="1" applyFont="1" applyFill="1" applyBorder="1" applyAlignment="1">
      <alignment horizontal="center"/>
    </xf>
    <xf numFmtId="1" fontId="11" fillId="12" borderId="7" xfId="0" applyNumberFormat="1" applyFont="1" applyFill="1" applyBorder="1" applyAlignment="1">
      <alignment horizontal="center"/>
    </xf>
    <xf numFmtId="1" fontId="1" fillId="12" borderId="0" xfId="0" applyNumberFormat="1" applyFont="1" applyFill="1" applyBorder="1" applyAlignment="1">
      <alignment horizontal="center"/>
    </xf>
    <xf numFmtId="1" fontId="1" fillId="12" borderId="5" xfId="0" applyNumberFormat="1" applyFont="1" applyFill="1" applyBorder="1" applyAlignment="1">
      <alignment horizontal="center"/>
    </xf>
    <xf numFmtId="1" fontId="1" fillId="12" borderId="3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3" fillId="12" borderId="0" xfId="0" applyFont="1" applyFill="1" applyBorder="1" applyAlignment="1">
      <alignment horizontal="center"/>
    </xf>
    <xf numFmtId="0" fontId="13" fillId="12" borderId="0" xfId="0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/>
    </xf>
    <xf numFmtId="1" fontId="1" fillId="12" borderId="8" xfId="0" applyNumberFormat="1" applyFont="1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13" fillId="12" borderId="2" xfId="0" applyFont="1" applyFill="1" applyBorder="1" applyAlignment="1">
      <alignment horizontal="left" wrapText="1"/>
    </xf>
    <xf numFmtId="0" fontId="13" fillId="12" borderId="0" xfId="0" applyFont="1" applyFill="1" applyAlignment="1">
      <alignment horizontal="left" wrapText="1"/>
    </xf>
    <xf numFmtId="0" fontId="1" fillId="12" borderId="0" xfId="0" applyFont="1" applyFill="1"/>
    <xf numFmtId="2" fontId="1" fillId="1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Energetická bilance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'otopné období'!$J$31</c:f>
              <c:strCache>
                <c:ptCount val="1"/>
                <c:pt idx="0">
                  <c:v>bílý (0,25)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'otopné období'!$I$32:$I$36</c:f>
              <c:numCache>
                <c:formatCode>0.00</c:formatCode>
                <c:ptCount val="5"/>
                <c:pt idx="0">
                  <c:v>0.22831050228310501</c:v>
                </c:pt>
                <c:pt idx="1">
                  <c:v>0.3995433789954338</c:v>
                </c:pt>
                <c:pt idx="2">
                  <c:v>1</c:v>
                </c:pt>
                <c:pt idx="3">
                  <c:v>1.5342465753424657</c:v>
                </c:pt>
                <c:pt idx="4">
                  <c:v>1.7511415525114156</c:v>
                </c:pt>
              </c:numCache>
            </c:numRef>
          </c:xVal>
          <c:yVal>
            <c:numRef>
              <c:f>'otopné období'!$J$32:$J$36</c:f>
              <c:numCache>
                <c:formatCode>0</c:formatCode>
                <c:ptCount val="5"/>
                <c:pt idx="0">
                  <c:v>7195.1203346486</c:v>
                </c:pt>
                <c:pt idx="1">
                  <c:v>5983.1684512420597</c:v>
                </c:pt>
                <c:pt idx="2">
                  <c:v>5344.3932971014501</c:v>
                </c:pt>
                <c:pt idx="3">
                  <c:v>7073.7890398550899</c:v>
                </c:pt>
                <c:pt idx="4">
                  <c:v>8057.7465601218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33-481B-B954-423E8E98973E}"/>
            </c:ext>
          </c:extLst>
        </c:ser>
        <c:ser>
          <c:idx val="1"/>
          <c:order val="1"/>
          <c:tx>
            <c:strRef>
              <c:f>'otopné období'!$K$31</c:f>
              <c:strCache>
                <c:ptCount val="1"/>
                <c:pt idx="0">
                  <c:v>černý (0,8)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'otopné období'!$I$32:$I$36</c:f>
              <c:numCache>
                <c:formatCode>0.00</c:formatCode>
                <c:ptCount val="5"/>
                <c:pt idx="0">
                  <c:v>0.22831050228310501</c:v>
                </c:pt>
                <c:pt idx="1">
                  <c:v>0.3995433789954338</c:v>
                </c:pt>
                <c:pt idx="2">
                  <c:v>1</c:v>
                </c:pt>
                <c:pt idx="3">
                  <c:v>1.5342465753424657</c:v>
                </c:pt>
                <c:pt idx="4">
                  <c:v>1.7511415525114156</c:v>
                </c:pt>
              </c:numCache>
            </c:numRef>
          </c:xVal>
          <c:yVal>
            <c:numRef>
              <c:f>'otopné období'!$K$32:$K$36</c:f>
              <c:numCache>
                <c:formatCode>0</c:formatCode>
                <c:ptCount val="5"/>
                <c:pt idx="0">
                  <c:v>6536.0503432102496</c:v>
                </c:pt>
                <c:pt idx="1">
                  <c:v>5471.2941455727596</c:v>
                </c:pt>
                <c:pt idx="2">
                  <c:v>6429.3960144927496</c:v>
                </c:pt>
                <c:pt idx="3">
                  <c:v>10420.788607306</c:v>
                </c:pt>
                <c:pt idx="4">
                  <c:v>12451.214786910199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33-481B-B954-423E8E989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088623"/>
        <c:axId val="1493071343"/>
      </c:scatterChart>
      <c:valAx>
        <c:axId val="149308862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3071343"/>
        <c:crosses val="autoZero"/>
        <c:crossBetween val="midCat"/>
      </c:valAx>
      <c:valAx>
        <c:axId val="14930713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308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775608</xdr:colOff>
      <xdr:row>44</xdr:row>
      <xdr:rowOff>95088</xdr:rowOff>
    </xdr:from>
    <xdr:to>
      <xdr:col>11</xdr:col>
      <xdr:colOff>247812</xdr:colOff>
      <xdr:row>65</xdr:row>
      <xdr:rowOff>105974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860C44-CC43-DCAA-DE21-37FD6B04D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647380</xdr:colOff>
      <xdr:row>63</xdr:row>
      <xdr:rowOff>160723</xdr:rowOff>
    </xdr:from>
    <xdr:to>
      <xdr:col>8</xdr:col>
      <xdr:colOff>5764</xdr:colOff>
      <xdr:row>65</xdr:row>
      <xdr:rowOff>57630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6ED461-5010-9839-01F0-00350496DAD9}"/>
            </a:ext>
          </a:extLst>
        </xdr:cNvPr>
        <xdr:cNvSpPr txBox="1"/>
      </xdr:nvSpPr>
      <xdr:spPr>
        <a:xfrm>
          <a:off x="4502204" y="12058169"/>
          <a:ext cx="914400" cy="2683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Sever</a:t>
          </a:r>
        </a:p>
      </xdr:txBody>
    </xdr:sp>
    <xdr:clientData/>
  </xdr:twoCellAnchor>
  <xdr:twoCellAnchor>
    <xdr:from>
      <xdr:col>10</xdr:col>
      <xdr:colOff>614081</xdr:colOff>
      <xdr:row>63</xdr:row>
      <xdr:rowOff>140232</xdr:rowOff>
    </xdr:from>
    <xdr:to>
      <xdr:col>11</xdr:col>
      <xdr:colOff>331052</xdr:colOff>
      <xdr:row>65</xdr:row>
      <xdr:rowOff>37139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2EE82A-FCF8-4726-85DB-217E6A3A8C22}"/>
            </a:ext>
          </a:extLst>
        </xdr:cNvPr>
        <xdr:cNvSpPr txBox="1"/>
      </xdr:nvSpPr>
      <xdr:spPr>
        <a:xfrm>
          <a:off x="7843476" y="12037678"/>
          <a:ext cx="914400" cy="2683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Jih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758A-30D1-41E7-B3EB-DFB2BCD87C74}">
  <dimension ref="A1:Y73"/>
  <sheetViews>
    <sheetView tabSelected="1" topLeftCell="A35" zoomScale="85" zoomScaleNormal="85" workbookViewId="0">
      <selection activeCell="H69" sqref="H69"/>
    </sheetView>
  </sheetViews>
  <sheetFormatPr defaultRowHeight="14.6"/>
  <cols>
    <col min="1" max="1" width="18.15234375" customWidth="1"/>
    <col min="2" max="2" width="4.61328125" customWidth="1"/>
    <col min="3" max="3" width="8.69140625" customWidth="1"/>
    <col min="4" max="4" width="2.84375" customWidth="1"/>
    <col min="5" max="5" width="8.23046875" customWidth="1"/>
    <col min="6" max="7" width="11.921875" customWidth="1"/>
    <col min="8" max="8" width="10" customWidth="1"/>
    <col min="9" max="9" width="17.07421875" customWidth="1"/>
    <col min="10" max="10" width="8.61328125" customWidth="1"/>
    <col min="11" max="11" width="16.921875" customWidth="1"/>
    <col min="12" max="12" width="8.07421875" customWidth="1"/>
    <col min="13" max="13" width="6.53515625" customWidth="1"/>
    <col min="14" max="14" width="7.23046875" customWidth="1"/>
    <col min="15" max="15" width="6.84375" customWidth="1"/>
    <col min="16" max="16" width="12.3046875" customWidth="1"/>
    <col min="17" max="17" width="14.765625" customWidth="1"/>
    <col min="18" max="18" width="11.61328125" hidden="1" customWidth="1"/>
    <col min="19" max="19" width="8.765625" customWidth="1"/>
    <col min="20" max="20" width="15.15234375" customWidth="1"/>
    <col min="21" max="21" width="10.3046875" customWidth="1"/>
    <col min="22" max="22" width="2.4609375" customWidth="1"/>
    <col min="23" max="23" width="9.84375" customWidth="1"/>
  </cols>
  <sheetData>
    <row r="1" spans="1:25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25">
      <c r="A2" s="169"/>
      <c r="B2" s="169"/>
      <c r="C2" s="169"/>
      <c r="D2" s="169"/>
      <c r="E2" s="189" t="s">
        <v>61</v>
      </c>
      <c r="F2" s="190"/>
      <c r="G2" s="190"/>
      <c r="H2" s="190"/>
      <c r="I2" s="197"/>
      <c r="J2" s="197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8"/>
      <c r="V2" s="169"/>
      <c r="Y2" s="169"/>
    </row>
    <row r="3" spans="1:25" ht="16.75" customHeight="1">
      <c r="A3" s="169"/>
      <c r="B3" s="169"/>
      <c r="C3" s="169"/>
      <c r="D3" s="169"/>
      <c r="E3" s="191" t="s">
        <v>7</v>
      </c>
      <c r="F3" s="192" t="s">
        <v>107</v>
      </c>
      <c r="G3" s="193" t="s">
        <v>23</v>
      </c>
      <c r="H3" s="259" t="s">
        <v>105</v>
      </c>
      <c r="I3" s="199" t="s">
        <v>2</v>
      </c>
      <c r="J3" s="200"/>
      <c r="K3" s="201" t="s">
        <v>1</v>
      </c>
      <c r="L3" s="200"/>
      <c r="M3" s="199" t="s">
        <v>35</v>
      </c>
      <c r="N3" s="201"/>
      <c r="O3" s="201"/>
      <c r="P3" s="201"/>
      <c r="Q3" s="200"/>
      <c r="R3" s="202" t="s">
        <v>21</v>
      </c>
      <c r="S3" s="203" t="s">
        <v>59</v>
      </c>
      <c r="T3" s="204"/>
      <c r="U3" s="205" t="s">
        <v>21</v>
      </c>
      <c r="V3" s="217"/>
      <c r="W3" s="199" t="s">
        <v>49</v>
      </c>
      <c r="X3" s="200"/>
      <c r="Y3" s="169"/>
    </row>
    <row r="4" spans="1:25" ht="15" customHeight="1">
      <c r="A4" s="206" t="s">
        <v>36</v>
      </c>
      <c r="B4" s="207"/>
      <c r="C4" s="208"/>
      <c r="D4" s="169"/>
      <c r="E4" s="194"/>
      <c r="F4" s="195"/>
      <c r="G4" s="196"/>
      <c r="H4" s="260"/>
      <c r="I4" s="176" t="s">
        <v>87</v>
      </c>
      <c r="J4" s="177" t="s">
        <v>34</v>
      </c>
      <c r="K4" s="178" t="s">
        <v>82</v>
      </c>
      <c r="L4" s="179" t="s">
        <v>34</v>
      </c>
      <c r="M4" s="176" t="s">
        <v>4</v>
      </c>
      <c r="N4" s="180" t="s">
        <v>5</v>
      </c>
      <c r="O4" s="179" t="s">
        <v>41</v>
      </c>
      <c r="P4" s="179" t="s">
        <v>83</v>
      </c>
      <c r="Q4" s="224" t="s">
        <v>51</v>
      </c>
      <c r="R4" s="181" t="s">
        <v>63</v>
      </c>
      <c r="S4" s="180" t="s">
        <v>88</v>
      </c>
      <c r="T4" s="180" t="s">
        <v>84</v>
      </c>
      <c r="U4" s="182"/>
      <c r="V4" s="217"/>
      <c r="W4" s="290" t="s">
        <v>104</v>
      </c>
      <c r="X4" s="291" t="s">
        <v>47</v>
      </c>
      <c r="Y4" s="169"/>
    </row>
    <row r="5" spans="1:25">
      <c r="A5" s="211" t="s">
        <v>89</v>
      </c>
      <c r="B5" s="279">
        <v>0.33</v>
      </c>
      <c r="C5" s="212"/>
      <c r="D5" s="169"/>
      <c r="E5" s="176"/>
      <c r="F5" s="177" t="s">
        <v>26</v>
      </c>
      <c r="G5" s="179" t="s">
        <v>3</v>
      </c>
      <c r="H5" s="177" t="s">
        <v>26</v>
      </c>
      <c r="I5" s="176" t="s">
        <v>65</v>
      </c>
      <c r="J5" s="177" t="s">
        <v>66</v>
      </c>
      <c r="K5" s="183" t="s">
        <v>67</v>
      </c>
      <c r="L5" s="179" t="s">
        <v>66</v>
      </c>
      <c r="M5" s="176" t="s">
        <v>68</v>
      </c>
      <c r="N5" s="182" t="s">
        <v>68</v>
      </c>
      <c r="O5" s="179" t="s">
        <v>68</v>
      </c>
      <c r="P5" s="179" t="s">
        <v>69</v>
      </c>
      <c r="Q5" s="225" t="s">
        <v>69</v>
      </c>
      <c r="R5" s="181"/>
      <c r="S5" s="182" t="s">
        <v>52</v>
      </c>
      <c r="T5" s="182" t="s">
        <v>69</v>
      </c>
      <c r="U5" s="182"/>
      <c r="V5" s="217"/>
      <c r="W5" s="176"/>
      <c r="X5" s="177"/>
      <c r="Y5" s="169"/>
    </row>
    <row r="6" spans="1:25" ht="16.3">
      <c r="A6" s="213" t="s">
        <v>85</v>
      </c>
      <c r="B6" s="247">
        <f>25*30</f>
        <v>750</v>
      </c>
      <c r="C6" s="214" t="s">
        <v>86</v>
      </c>
      <c r="D6" s="169"/>
      <c r="E6" s="176"/>
      <c r="F6" s="177" t="s">
        <v>37</v>
      </c>
      <c r="G6" s="185" t="s">
        <v>37</v>
      </c>
      <c r="H6" s="177" t="s">
        <v>37</v>
      </c>
      <c r="I6" s="176" t="s">
        <v>28</v>
      </c>
      <c r="J6" s="177" t="s">
        <v>28</v>
      </c>
      <c r="K6" s="184" t="s">
        <v>28</v>
      </c>
      <c r="L6" s="185" t="s">
        <v>28</v>
      </c>
      <c r="M6" s="186" t="s">
        <v>28</v>
      </c>
      <c r="N6" s="187" t="s">
        <v>28</v>
      </c>
      <c r="O6" s="185" t="s">
        <v>28</v>
      </c>
      <c r="P6" s="185" t="s">
        <v>28</v>
      </c>
      <c r="Q6" s="226" t="s">
        <v>28</v>
      </c>
      <c r="R6" s="188" t="s">
        <v>28</v>
      </c>
      <c r="S6" s="187" t="s">
        <v>53</v>
      </c>
      <c r="T6" s="187" t="s">
        <v>28</v>
      </c>
      <c r="U6" s="187" t="s">
        <v>28</v>
      </c>
      <c r="V6" s="217"/>
      <c r="W6" s="176" t="s">
        <v>70</v>
      </c>
      <c r="X6" s="177" t="s">
        <v>71</v>
      </c>
      <c r="Y6" s="169"/>
    </row>
    <row r="7" spans="1:25">
      <c r="A7" s="213" t="s">
        <v>6</v>
      </c>
      <c r="B7" s="248">
        <v>22</v>
      </c>
      <c r="C7" s="214" t="s">
        <v>38</v>
      </c>
      <c r="D7" s="169"/>
      <c r="E7" s="31" t="s">
        <v>8</v>
      </c>
      <c r="F7" s="32">
        <v>-2</v>
      </c>
      <c r="G7" s="34">
        <f>$B$7-F7</f>
        <v>24</v>
      </c>
      <c r="H7" s="34">
        <v>0.8</v>
      </c>
      <c r="I7" s="261">
        <f>$B$10*X7*$B$14</f>
        <v>1027.044520547948</v>
      </c>
      <c r="J7" s="76">
        <f>-$B$12*$B$10*G7</f>
        <v>-55.2</v>
      </c>
      <c r="K7" s="55">
        <f t="shared" ref="K7:K18" si="0">$B$9*X7*0.6</f>
        <v>1607.5479452054835</v>
      </c>
      <c r="L7" s="76">
        <f>-0.8*$B$9*G7</f>
        <v>-460.80000000000007</v>
      </c>
      <c r="M7" s="55">
        <f>$B$11*90*$B$8</f>
        <v>468.75</v>
      </c>
      <c r="N7" s="55">
        <f t="shared" ref="N7:N18" si="1">$B$11*0.5*30*$B$8</f>
        <v>78.125</v>
      </c>
      <c r="O7" s="95">
        <f>12*16</f>
        <v>192</v>
      </c>
      <c r="P7" s="95">
        <f>-0.33*($B$7-H7)*20</f>
        <v>-139.92000000000002</v>
      </c>
      <c r="Q7" s="237">
        <f>-0.33*G7*$B$6*$B$5</f>
        <v>-1960.2</v>
      </c>
      <c r="R7" s="121">
        <f>SUM(J7:Q7)</f>
        <v>-269.69705479451682</v>
      </c>
      <c r="S7" s="227">
        <f t="shared" ref="S7:S17" si="2">IF(SUM(I7:Q7)&lt;0,$B$5,IF(SUM(I7:P7)/($B$5*G7*$B$6)&lt;1,SUM(I7:P7)/($B$5*G7*$B$6),1))</f>
        <v>0.45749957335916352</v>
      </c>
      <c r="T7" s="95">
        <f>-0.33*$B$6*G7*S7</f>
        <v>-2717.5474657534314</v>
      </c>
      <c r="U7" s="95">
        <f>SUM(I7:P7)+T7</f>
        <v>0</v>
      </c>
      <c r="V7" s="171"/>
      <c r="W7" s="153">
        <v>1.53</v>
      </c>
      <c r="X7" s="154">
        <f>W7*1000/24*$B$15</f>
        <v>111.63527397260303</v>
      </c>
      <c r="Y7" s="169"/>
    </row>
    <row r="8" spans="1:25">
      <c r="A8" s="213" t="s">
        <v>22</v>
      </c>
      <c r="B8" s="247">
        <v>25</v>
      </c>
      <c r="C8" s="214" t="s">
        <v>24</v>
      </c>
      <c r="D8" s="169"/>
      <c r="E8" s="13" t="s">
        <v>91</v>
      </c>
      <c r="F8" s="14">
        <v>-0.6</v>
      </c>
      <c r="G8" s="35">
        <f>$B$7-F8</f>
        <v>22.6</v>
      </c>
      <c r="H8" s="251">
        <v>3</v>
      </c>
      <c r="I8" s="262">
        <f>$B$10*X8*$B$14</f>
        <v>1705.0281582952859</v>
      </c>
      <c r="J8" s="78">
        <f>-$B$12*$B$10*G8</f>
        <v>-51.980000000000011</v>
      </c>
      <c r="K8" s="56">
        <f t="shared" si="0"/>
        <v>2668.7397260274042</v>
      </c>
      <c r="L8" s="78">
        <f>-0.8*$B$9*G8</f>
        <v>-433.92000000000007</v>
      </c>
      <c r="M8" s="56">
        <f>$B$11*90*$B$8</f>
        <v>468.75</v>
      </c>
      <c r="N8" s="56">
        <f t="shared" si="1"/>
        <v>78.125</v>
      </c>
      <c r="O8" s="96">
        <f t="shared" ref="O8:O18" si="3">12*16</f>
        <v>192</v>
      </c>
      <c r="P8" s="96">
        <f>-0.33*($B$7-H8)*20</f>
        <v>-125.4</v>
      </c>
      <c r="Q8" s="238">
        <f t="shared" ref="Q8:Q18" si="4">-0.33*G8*$B$6*$B$5</f>
        <v>-1845.8550000000005</v>
      </c>
      <c r="R8" s="122">
        <f t="shared" ref="R8:R18" si="5">SUM(J8:Q8)</f>
        <v>950.45972602740358</v>
      </c>
      <c r="S8" s="228">
        <f t="shared" si="2"/>
        <v>0.80474530871952976</v>
      </c>
      <c r="T8" s="96">
        <f t="shared" ref="T8:T18" si="6">-0.33*$B$6*G8*S8</f>
        <v>-4501.3428843226893</v>
      </c>
      <c r="U8" s="96">
        <f t="shared" ref="U8:U18" si="7">SUM(I8:P8)+T8</f>
        <v>0</v>
      </c>
      <c r="V8" s="171"/>
      <c r="W8" s="135">
        <v>2.54</v>
      </c>
      <c r="X8" s="136">
        <f>W8*1000/24*$B$15</f>
        <v>185.32914764079194</v>
      </c>
      <c r="Y8" s="169"/>
    </row>
    <row r="9" spans="1:25">
      <c r="A9" s="213" t="s">
        <v>29</v>
      </c>
      <c r="B9" s="248">
        <f>7.5*3.2</f>
        <v>24</v>
      </c>
      <c r="C9" s="214" t="s">
        <v>39</v>
      </c>
      <c r="D9" s="169"/>
      <c r="E9" s="15" t="s">
        <v>92</v>
      </c>
      <c r="F9" s="16">
        <v>3.1</v>
      </c>
      <c r="G9" s="36">
        <f>$B$7-F9</f>
        <v>18.899999999999999</v>
      </c>
      <c r="H9" s="252">
        <v>7.8</v>
      </c>
      <c r="I9" s="263">
        <f>$B$10*X9*$B$14</f>
        <v>2503.840563165912</v>
      </c>
      <c r="J9" s="80">
        <f>-$B$12*$B$10*G9</f>
        <v>-43.47</v>
      </c>
      <c r="K9" s="57">
        <f t="shared" si="0"/>
        <v>3919.0547945205576</v>
      </c>
      <c r="L9" s="80">
        <f>-0.8*$B$9*G9</f>
        <v>-362.88000000000005</v>
      </c>
      <c r="M9" s="57">
        <f>$B$11*90*$B$8</f>
        <v>468.75</v>
      </c>
      <c r="N9" s="57">
        <f t="shared" si="1"/>
        <v>78.125</v>
      </c>
      <c r="O9" s="97">
        <f t="shared" si="3"/>
        <v>192</v>
      </c>
      <c r="P9" s="97">
        <f>-0.33*($B$7-H9)*20</f>
        <v>-93.72</v>
      </c>
      <c r="Q9" s="239">
        <f t="shared" si="4"/>
        <v>-1543.6575</v>
      </c>
      <c r="R9" s="123">
        <f t="shared" si="5"/>
        <v>2614.2022945205572</v>
      </c>
      <c r="S9" s="229">
        <f t="shared" si="2"/>
        <v>1</v>
      </c>
      <c r="T9" s="97">
        <f t="shared" si="6"/>
        <v>-4677.75</v>
      </c>
      <c r="U9" s="97">
        <f t="shared" si="7"/>
        <v>1983.9503576864699</v>
      </c>
      <c r="V9" s="171"/>
      <c r="W9" s="137">
        <v>3.73</v>
      </c>
      <c r="X9" s="138">
        <f>W9*1000/24*$B$15</f>
        <v>272.15658295281651</v>
      </c>
      <c r="Y9" s="169"/>
    </row>
    <row r="10" spans="1:25">
      <c r="A10" s="213" t="s">
        <v>30</v>
      </c>
      <c r="B10" s="248">
        <f>7.5*(0.8+0.6)+1</f>
        <v>11.5</v>
      </c>
      <c r="C10" s="214" t="s">
        <v>39</v>
      </c>
      <c r="D10" s="169"/>
      <c r="E10" s="17" t="s">
        <v>93</v>
      </c>
      <c r="F10" s="18">
        <v>7.9</v>
      </c>
      <c r="G10" s="37">
        <f>$B$7-F10</f>
        <v>14.1</v>
      </c>
      <c r="H10" s="253">
        <v>13.4</v>
      </c>
      <c r="I10" s="264">
        <f>$B$10*X10*$B$14</f>
        <v>3403.3436073059452</v>
      </c>
      <c r="J10" s="82">
        <f>-$B$12*$B$10*G10</f>
        <v>-32.43</v>
      </c>
      <c r="K10" s="58">
        <f t="shared" si="0"/>
        <v>5326.9726027397382</v>
      </c>
      <c r="L10" s="82">
        <f>-0.8*$B$9*G10</f>
        <v>-270.72000000000003</v>
      </c>
      <c r="M10" s="58">
        <f>$B$11*90*$B$8</f>
        <v>468.75</v>
      </c>
      <c r="N10" s="58">
        <f t="shared" si="1"/>
        <v>78.125</v>
      </c>
      <c r="O10" s="98">
        <f t="shared" si="3"/>
        <v>192</v>
      </c>
      <c r="P10" s="98">
        <f>-0.33*($B$7-H10)*20</f>
        <v>-56.760000000000005</v>
      </c>
      <c r="Q10" s="240">
        <f t="shared" si="4"/>
        <v>-1151.6175000000003</v>
      </c>
      <c r="R10" s="124">
        <f t="shared" si="5"/>
        <v>4554.3201027397372</v>
      </c>
      <c r="S10" s="230">
        <f t="shared" si="2"/>
        <v>1</v>
      </c>
      <c r="T10" s="98">
        <f t="shared" si="6"/>
        <v>-3489.75</v>
      </c>
      <c r="U10" s="98">
        <f t="shared" si="7"/>
        <v>5619.5312100456831</v>
      </c>
      <c r="V10" s="171"/>
      <c r="W10" s="139">
        <v>5.07</v>
      </c>
      <c r="X10" s="140">
        <f>W10*1000/24*$B$15</f>
        <v>369.92865296803745</v>
      </c>
      <c r="Y10" s="169"/>
    </row>
    <row r="11" spans="1:25">
      <c r="A11" s="213" t="s">
        <v>31</v>
      </c>
      <c r="B11" s="249">
        <f>5/24</f>
        <v>0.20833333333333334</v>
      </c>
      <c r="C11" s="214" t="s">
        <v>32</v>
      </c>
      <c r="D11" s="169"/>
      <c r="E11" s="286" t="s">
        <v>94</v>
      </c>
      <c r="F11" s="20">
        <v>12.9</v>
      </c>
      <c r="G11" s="38">
        <f>$B$7-F11</f>
        <v>9.1</v>
      </c>
      <c r="H11" s="254">
        <v>18.399999999999999</v>
      </c>
      <c r="I11" s="265">
        <f>$B$10*X11*$B$14</f>
        <v>3564.4486301369952</v>
      </c>
      <c r="J11" s="84">
        <f>-$B$12*$B$10*G11</f>
        <v>-20.930000000000003</v>
      </c>
      <c r="K11" s="59">
        <f t="shared" si="0"/>
        <v>5579.1369863013842</v>
      </c>
      <c r="L11" s="84">
        <f>-0.8*$B$9*G11</f>
        <v>-174.72000000000003</v>
      </c>
      <c r="M11" s="59">
        <f>$B$11*90*$B$8</f>
        <v>468.75</v>
      </c>
      <c r="N11" s="59">
        <f t="shared" si="1"/>
        <v>78.125</v>
      </c>
      <c r="O11" s="99">
        <f t="shared" si="3"/>
        <v>192</v>
      </c>
      <c r="P11" s="99">
        <f>-0.33*($B$7-H11)*20</f>
        <v>-23.760000000000012</v>
      </c>
      <c r="Q11" s="241">
        <f t="shared" si="4"/>
        <v>-743.24250000000006</v>
      </c>
      <c r="R11" s="125">
        <f t="shared" si="5"/>
        <v>5355.3594863013832</v>
      </c>
      <c r="S11" s="231">
        <f t="shared" si="2"/>
        <v>1</v>
      </c>
      <c r="T11" s="99">
        <f t="shared" si="6"/>
        <v>-2252.25</v>
      </c>
      <c r="U11" s="99">
        <f t="shared" si="7"/>
        <v>7410.8006164383805</v>
      </c>
      <c r="V11" s="171"/>
      <c r="W11" s="141">
        <v>5.31</v>
      </c>
      <c r="X11" s="142">
        <f>W11*1000/24*$B$15</f>
        <v>387.44006849315167</v>
      </c>
      <c r="Y11" s="169"/>
    </row>
    <row r="12" spans="1:25">
      <c r="A12" s="213" t="s">
        <v>54</v>
      </c>
      <c r="B12" s="247">
        <v>0.2</v>
      </c>
      <c r="C12" s="214" t="s">
        <v>40</v>
      </c>
      <c r="D12" s="169"/>
      <c r="E12" s="287" t="s">
        <v>95</v>
      </c>
      <c r="F12" s="22">
        <v>16</v>
      </c>
      <c r="G12" s="39">
        <f>$B$7-F12</f>
        <v>6</v>
      </c>
      <c r="H12" s="255">
        <v>21.5</v>
      </c>
      <c r="I12" s="266">
        <f>$B$10*X12*$B$14</f>
        <v>3819.5315829528263</v>
      </c>
      <c r="J12" s="86">
        <f>-$B$12*$B$10*G12</f>
        <v>-13.8</v>
      </c>
      <c r="K12" s="60">
        <f t="shared" si="0"/>
        <v>5978.3972602739877</v>
      </c>
      <c r="L12" s="86">
        <f>-0.8*$B$9*G12</f>
        <v>-115.20000000000002</v>
      </c>
      <c r="M12" s="60">
        <f>$B$11*90*$B$8</f>
        <v>468.75</v>
      </c>
      <c r="N12" s="60">
        <f t="shared" si="1"/>
        <v>78.125</v>
      </c>
      <c r="O12" s="100">
        <f t="shared" si="3"/>
        <v>192</v>
      </c>
      <c r="P12" s="100">
        <f>-0.33*($B$7-H12)*20</f>
        <v>-3.3000000000000003</v>
      </c>
      <c r="Q12" s="242">
        <f t="shared" si="4"/>
        <v>-490.05</v>
      </c>
      <c r="R12" s="126">
        <f t="shared" si="5"/>
        <v>6094.9222602739874</v>
      </c>
      <c r="S12" s="232">
        <f t="shared" si="2"/>
        <v>1</v>
      </c>
      <c r="T12" s="100">
        <f t="shared" si="6"/>
        <v>-1485</v>
      </c>
      <c r="U12" s="100">
        <f t="shared" si="7"/>
        <v>8919.5038432268138</v>
      </c>
      <c r="V12" s="171"/>
      <c r="W12" s="143">
        <v>5.69</v>
      </c>
      <c r="X12" s="144">
        <f>W12*1000/24*$B$15</f>
        <v>415.16647640791587</v>
      </c>
      <c r="Y12" s="169"/>
    </row>
    <row r="13" spans="1:25">
      <c r="A13" s="213" t="s">
        <v>55</v>
      </c>
      <c r="B13" s="247">
        <v>0.8</v>
      </c>
      <c r="C13" s="214" t="s">
        <v>40</v>
      </c>
      <c r="D13" s="169"/>
      <c r="E13" s="288" t="s">
        <v>90</v>
      </c>
      <c r="F13" s="24">
        <v>17.600000000000001</v>
      </c>
      <c r="G13" s="40">
        <f>$B$7-F13</f>
        <v>4.3999999999999986</v>
      </c>
      <c r="H13" s="256">
        <v>23.4</v>
      </c>
      <c r="I13" s="267">
        <f>$B$10*X13*$B$14</f>
        <v>3772.542617960436</v>
      </c>
      <c r="J13" s="88">
        <f>-$B$12*$B$10*G13</f>
        <v>-10.119999999999997</v>
      </c>
      <c r="K13" s="61">
        <f t="shared" si="0"/>
        <v>5904.8493150685081</v>
      </c>
      <c r="L13" s="88">
        <f>-0.8*$B$9*G13</f>
        <v>-84.47999999999999</v>
      </c>
      <c r="M13" s="61">
        <f>$B$11*90*$B$8</f>
        <v>468.75</v>
      </c>
      <c r="N13" s="61">
        <f t="shared" si="1"/>
        <v>78.125</v>
      </c>
      <c r="O13" s="101">
        <f t="shared" si="3"/>
        <v>192</v>
      </c>
      <c r="P13" s="101">
        <f>-0.33*($B$7-H13)*20</f>
        <v>9.2399999999999913</v>
      </c>
      <c r="Q13" s="243">
        <f t="shared" si="4"/>
        <v>-359.36999999999989</v>
      </c>
      <c r="R13" s="127">
        <f t="shared" si="5"/>
        <v>6198.9943150685085</v>
      </c>
      <c r="S13" s="233">
        <f t="shared" si="2"/>
        <v>1</v>
      </c>
      <c r="T13" s="101">
        <f t="shared" si="6"/>
        <v>-1088.9999999999995</v>
      </c>
      <c r="U13" s="101">
        <f t="shared" si="7"/>
        <v>9241.906933028944</v>
      </c>
      <c r="V13" s="171"/>
      <c r="W13" s="145">
        <v>5.62</v>
      </c>
      <c r="X13" s="146">
        <f>W13*1000/24*$B$15</f>
        <v>410.05898021309082</v>
      </c>
      <c r="Y13" s="169"/>
    </row>
    <row r="14" spans="1:25">
      <c r="A14" s="219" t="s">
        <v>101</v>
      </c>
      <c r="B14" s="250">
        <v>0.8</v>
      </c>
      <c r="C14" s="220"/>
      <c r="D14" s="169"/>
      <c r="E14" s="288" t="s">
        <v>96</v>
      </c>
      <c r="F14" s="24">
        <v>17.3</v>
      </c>
      <c r="G14" s="40">
        <f>$B$7-F14</f>
        <v>4.6999999999999993</v>
      </c>
      <c r="H14" s="256">
        <v>23.3</v>
      </c>
      <c r="I14" s="267">
        <f>$B$10*X14*$B$14</f>
        <v>3477.1834094368432</v>
      </c>
      <c r="J14" s="88">
        <f>-$B$12*$B$10*G14</f>
        <v>-10.81</v>
      </c>
      <c r="K14" s="61">
        <f t="shared" si="0"/>
        <v>5442.5479452054933</v>
      </c>
      <c r="L14" s="88">
        <f>-0.8*$B$9*G14</f>
        <v>-90.24</v>
      </c>
      <c r="M14" s="61">
        <f>$B$11*90*$B$8</f>
        <v>468.75</v>
      </c>
      <c r="N14" s="61">
        <f t="shared" si="1"/>
        <v>78.125</v>
      </c>
      <c r="O14" s="101">
        <f t="shared" si="3"/>
        <v>192</v>
      </c>
      <c r="P14" s="101">
        <f>-0.33*($B$7-H14)*20</f>
        <v>8.5800000000000054</v>
      </c>
      <c r="Q14" s="243">
        <f t="shared" si="4"/>
        <v>-383.8725</v>
      </c>
      <c r="R14" s="127">
        <f t="shared" si="5"/>
        <v>5705.0804452054927</v>
      </c>
      <c r="S14" s="233">
        <f t="shared" si="2"/>
        <v>1</v>
      </c>
      <c r="T14" s="101">
        <f t="shared" si="6"/>
        <v>-1163.2499999999998</v>
      </c>
      <c r="U14" s="101">
        <f t="shared" si="7"/>
        <v>8402.8863546423363</v>
      </c>
      <c r="V14" s="171"/>
      <c r="W14" s="145">
        <v>5.18</v>
      </c>
      <c r="X14" s="146">
        <f>W14*1000/24*$B$15</f>
        <v>377.95471841704818</v>
      </c>
      <c r="Y14" s="169"/>
    </row>
    <row r="15" spans="1:25">
      <c r="A15" s="221" t="s">
        <v>102</v>
      </c>
      <c r="B15" s="222">
        <v>1.75114155251142</v>
      </c>
      <c r="C15" s="223" t="s">
        <v>75</v>
      </c>
      <c r="D15" s="169"/>
      <c r="E15" s="289" t="s">
        <v>97</v>
      </c>
      <c r="F15" s="26">
        <v>13.3</v>
      </c>
      <c r="G15" s="41">
        <f>$B$7-F15</f>
        <v>8.6999999999999993</v>
      </c>
      <c r="H15" s="257">
        <v>19</v>
      </c>
      <c r="I15" s="268">
        <f>$B$10*X15*$B$14</f>
        <v>2987.1556316590641</v>
      </c>
      <c r="J15" s="90">
        <f>-$B$12*$B$10*G15</f>
        <v>-20.010000000000002</v>
      </c>
      <c r="K15" s="62">
        <f t="shared" si="0"/>
        <v>4675.5479452054906</v>
      </c>
      <c r="L15" s="90">
        <f>-0.8*$B$9*G15</f>
        <v>-167.04000000000002</v>
      </c>
      <c r="M15" s="62">
        <f>$B$11*90*$B$8</f>
        <v>468.75</v>
      </c>
      <c r="N15" s="62">
        <f t="shared" si="1"/>
        <v>78.125</v>
      </c>
      <c r="O15" s="102">
        <f t="shared" si="3"/>
        <v>192</v>
      </c>
      <c r="P15" s="102">
        <f>-0.33*($B$7-H15)*20</f>
        <v>-19.8</v>
      </c>
      <c r="Q15" s="244">
        <f t="shared" si="4"/>
        <v>-710.57249999999999</v>
      </c>
      <c r="R15" s="128">
        <f t="shared" si="5"/>
        <v>4497.00044520549</v>
      </c>
      <c r="S15" s="234">
        <f t="shared" si="2"/>
        <v>1</v>
      </c>
      <c r="T15" s="102">
        <f t="shared" si="6"/>
        <v>-2153.25</v>
      </c>
      <c r="U15" s="102">
        <f t="shared" si="7"/>
        <v>6041.4785768645561</v>
      </c>
      <c r="V15" s="171"/>
      <c r="W15" s="147">
        <v>4.45</v>
      </c>
      <c r="X15" s="148">
        <f>W15*1000/24*$B$15</f>
        <v>324.6908295281591</v>
      </c>
      <c r="Y15" s="169"/>
    </row>
    <row r="16" spans="1:25">
      <c r="A16" s="218" t="s">
        <v>103</v>
      </c>
      <c r="B16" s="169"/>
      <c r="C16" s="169"/>
      <c r="D16" s="169"/>
      <c r="E16" s="17" t="s">
        <v>98</v>
      </c>
      <c r="F16" s="18">
        <v>8.1999999999999993</v>
      </c>
      <c r="G16" s="37">
        <f>$B$7-F16</f>
        <v>13.8</v>
      </c>
      <c r="H16" s="253">
        <v>13</v>
      </c>
      <c r="I16" s="264">
        <f>$B$10*X16*$B$14</f>
        <v>2033.9509132420146</v>
      </c>
      <c r="J16" s="82">
        <f>-$B$12*$B$10*G16</f>
        <v>-31.740000000000006</v>
      </c>
      <c r="K16" s="58">
        <f t="shared" si="0"/>
        <v>3183.5753424657614</v>
      </c>
      <c r="L16" s="82">
        <f>-0.8*$B$9*G16</f>
        <v>-264.96000000000004</v>
      </c>
      <c r="M16" s="58">
        <f>$B$11*90*$B$8</f>
        <v>468.75</v>
      </c>
      <c r="N16" s="58">
        <f t="shared" si="1"/>
        <v>78.125</v>
      </c>
      <c r="O16" s="98">
        <f t="shared" si="3"/>
        <v>192</v>
      </c>
      <c r="P16" s="98">
        <f>-0.33*($B$7-H16)*20</f>
        <v>-59.400000000000006</v>
      </c>
      <c r="Q16" s="240">
        <f t="shared" si="4"/>
        <v>-1127.115</v>
      </c>
      <c r="R16" s="124">
        <f t="shared" si="5"/>
        <v>2439.2353424657613</v>
      </c>
      <c r="S16" s="230">
        <f t="shared" si="2"/>
        <v>1</v>
      </c>
      <c r="T16" s="98">
        <f t="shared" si="6"/>
        <v>-3415.5</v>
      </c>
      <c r="U16" s="98">
        <f t="shared" si="7"/>
        <v>2184.8012557077764</v>
      </c>
      <c r="V16" s="171"/>
      <c r="W16" s="139">
        <v>3.03</v>
      </c>
      <c r="X16" s="140">
        <f>W16*1000/24*$B$15</f>
        <v>221.08162100456678</v>
      </c>
      <c r="Y16" s="169"/>
    </row>
    <row r="17" spans="1:25">
      <c r="A17" s="169"/>
      <c r="B17" s="169"/>
      <c r="C17" s="169"/>
      <c r="D17" s="169"/>
      <c r="E17" s="27" t="s">
        <v>99</v>
      </c>
      <c r="F17" s="28">
        <v>2.9</v>
      </c>
      <c r="G17" s="42">
        <f>$B$7-F17</f>
        <v>19.100000000000001</v>
      </c>
      <c r="H17" s="258">
        <v>5.9</v>
      </c>
      <c r="I17" s="269">
        <f>$B$10*X17*$B$14</f>
        <v>1121.0224505327274</v>
      </c>
      <c r="J17" s="92">
        <f>-$B$12*$B$10*G17</f>
        <v>-43.930000000000007</v>
      </c>
      <c r="K17" s="63">
        <f t="shared" si="0"/>
        <v>1754.6438356164426</v>
      </c>
      <c r="L17" s="92">
        <f>-0.8*$B$9*G17</f>
        <v>-366.72000000000008</v>
      </c>
      <c r="M17" s="63">
        <f>$B$11*90*$B$8</f>
        <v>468.75</v>
      </c>
      <c r="N17" s="63">
        <f t="shared" si="1"/>
        <v>78.125</v>
      </c>
      <c r="O17" s="103">
        <f t="shared" si="3"/>
        <v>192</v>
      </c>
      <c r="P17" s="103">
        <f>-0.33*($B$7-H17)*20</f>
        <v>-106.26000000000002</v>
      </c>
      <c r="Q17" s="245">
        <f t="shared" si="4"/>
        <v>-1559.9925000000003</v>
      </c>
      <c r="R17" s="129">
        <f t="shared" si="5"/>
        <v>416.61633561644226</v>
      </c>
      <c r="S17" s="235">
        <f t="shared" si="2"/>
        <v>0.65527130702822345</v>
      </c>
      <c r="T17" s="103">
        <f t="shared" si="6"/>
        <v>-3097.6312861491692</v>
      </c>
      <c r="U17" s="103">
        <f t="shared" si="7"/>
        <v>0</v>
      </c>
      <c r="V17" s="171"/>
      <c r="W17" s="149">
        <v>1.67</v>
      </c>
      <c r="X17" s="150">
        <f>W17*1000/24*$B$15</f>
        <v>121.85026636225297</v>
      </c>
      <c r="Y17" s="169"/>
    </row>
    <row r="18" spans="1:25">
      <c r="A18" s="169"/>
      <c r="B18" s="169"/>
      <c r="C18" s="169"/>
      <c r="D18" s="169"/>
      <c r="E18" s="29" t="s">
        <v>100</v>
      </c>
      <c r="F18" s="30">
        <v>-0.5</v>
      </c>
      <c r="G18" s="43">
        <f>$B$7-F18</f>
        <v>22.5</v>
      </c>
      <c r="H18" s="43">
        <v>2.1</v>
      </c>
      <c r="I18" s="270">
        <f>$B$10*X18*$B$14</f>
        <v>919.6411719939141</v>
      </c>
      <c r="J18" s="94">
        <f>-$B$12*$B$10*G18</f>
        <v>-51.750000000000007</v>
      </c>
      <c r="K18" s="64">
        <f t="shared" si="0"/>
        <v>1439.4383561643874</v>
      </c>
      <c r="L18" s="94">
        <f>-0.8*$B$9*G18</f>
        <v>-432.00000000000006</v>
      </c>
      <c r="M18" s="64">
        <f>$B$11*90*$B$8</f>
        <v>468.75</v>
      </c>
      <c r="N18" s="64">
        <f t="shared" si="1"/>
        <v>78.125</v>
      </c>
      <c r="O18" s="104">
        <f t="shared" si="3"/>
        <v>192</v>
      </c>
      <c r="P18" s="104">
        <f>-0.33*($B$7-H18)*20</f>
        <v>-131.34</v>
      </c>
      <c r="Q18" s="246">
        <f t="shared" si="4"/>
        <v>-1837.6875000000005</v>
      </c>
      <c r="R18" s="130">
        <f t="shared" si="5"/>
        <v>-274.46414383561296</v>
      </c>
      <c r="S18" s="236">
        <f>IF(SUM(I18:Q18)&lt;0,$B$5,IF(SUM(I18:P18)/($B$5*G18*$B$6)&lt;1,SUM(I18:P18)/($B$5*G18*$B$6),1))</f>
        <v>0.44585670539318534</v>
      </c>
      <c r="T18" s="104">
        <f t="shared" si="6"/>
        <v>-2482.8645281583008</v>
      </c>
      <c r="U18" s="104">
        <f t="shared" si="7"/>
        <v>0</v>
      </c>
      <c r="V18" s="171"/>
      <c r="W18" s="151">
        <v>1.37</v>
      </c>
      <c r="X18" s="152">
        <f>W18*1000/24*$B$15</f>
        <v>99.960996955860224</v>
      </c>
      <c r="Y18" s="169"/>
    </row>
    <row r="19" spans="1:25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70"/>
      <c r="S19" s="171"/>
      <c r="T19" s="169"/>
      <c r="U19" s="169"/>
      <c r="V19" s="169"/>
      <c r="W19" s="169"/>
      <c r="X19" s="169"/>
      <c r="Y19" s="169"/>
    </row>
    <row r="20" spans="1:25">
      <c r="A20" s="169"/>
      <c r="B20" s="169"/>
      <c r="C20" s="169"/>
      <c r="D20" s="169"/>
      <c r="E20" s="218" t="s">
        <v>111</v>
      </c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</row>
    <row r="21" spans="1:25">
      <c r="A21" s="169"/>
      <c r="B21" s="169"/>
      <c r="C21" s="169"/>
      <c r="D21" s="169"/>
      <c r="E21" s="218" t="s">
        <v>62</v>
      </c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</row>
    <row r="22" spans="1:25" ht="26.15" customHeight="1">
      <c r="A22" s="169"/>
      <c r="B22" s="169"/>
      <c r="C22" s="169"/>
      <c r="D22" s="169"/>
      <c r="E22" s="278" t="s">
        <v>106</v>
      </c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</row>
    <row r="23" spans="1:25">
      <c r="A23" s="169"/>
      <c r="B23" s="169"/>
      <c r="C23" s="169"/>
      <c r="D23" s="169"/>
      <c r="E23" s="189" t="s">
        <v>64</v>
      </c>
      <c r="F23" s="209" t="s">
        <v>74</v>
      </c>
      <c r="G23" s="209"/>
      <c r="H23" s="210" t="s">
        <v>57</v>
      </c>
      <c r="I23" s="205" t="s">
        <v>73</v>
      </c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</row>
    <row r="24" spans="1:25">
      <c r="A24" s="169"/>
      <c r="B24" s="169"/>
      <c r="C24" s="169"/>
      <c r="D24" s="169"/>
      <c r="E24" s="131" t="s">
        <v>60</v>
      </c>
      <c r="F24" s="133">
        <f>SUMIF(U7:U18, "&lt;0")*-1</f>
        <v>0</v>
      </c>
      <c r="G24" s="133"/>
      <c r="H24" s="155">
        <v>0.92</v>
      </c>
      <c r="I24" s="157">
        <f>F24*(1/H24)</f>
        <v>0</v>
      </c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</row>
    <row r="25" spans="1:25">
      <c r="A25" s="169"/>
      <c r="B25" s="169"/>
      <c r="C25" s="169"/>
      <c r="D25" s="169"/>
      <c r="E25" s="132" t="s">
        <v>58</v>
      </c>
      <c r="F25" s="134">
        <f>SUMIF(U7:U18, "&gt;0")</f>
        <v>49804.859147640964</v>
      </c>
      <c r="G25" s="134"/>
      <c r="H25" s="156">
        <v>4</v>
      </c>
      <c r="I25" s="158">
        <f>F25*(1/H25)</f>
        <v>12451.214786910241</v>
      </c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</row>
    <row r="26" spans="1:25">
      <c r="A26" s="169"/>
      <c r="B26" s="169"/>
      <c r="C26" s="169"/>
      <c r="D26" s="169"/>
      <c r="E26" s="169"/>
      <c r="F26" s="169"/>
      <c r="G26" s="169"/>
      <c r="H26" s="159" t="s">
        <v>72</v>
      </c>
      <c r="I26" s="160">
        <f>SUM(I24:I25)</f>
        <v>12451.214786910241</v>
      </c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</row>
    <row r="27" spans="1:25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</row>
    <row r="28" spans="1:25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216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</row>
    <row r="29" spans="1:25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</row>
    <row r="30" spans="1:25">
      <c r="A30" s="169"/>
      <c r="B30" s="169"/>
      <c r="C30" s="169"/>
      <c r="D30" s="169"/>
      <c r="E30" s="169"/>
      <c r="F30" s="169"/>
      <c r="G30" s="296" t="s">
        <v>110</v>
      </c>
      <c r="H30" s="297"/>
      <c r="I30" s="298"/>
      <c r="J30" s="174" t="s">
        <v>81</v>
      </c>
      <c r="K30" s="175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</row>
    <row r="31" spans="1:25">
      <c r="A31" s="169"/>
      <c r="B31" s="169"/>
      <c r="C31" s="169"/>
      <c r="D31" s="169"/>
      <c r="E31" s="169"/>
      <c r="F31" s="169"/>
      <c r="G31" s="294" t="s">
        <v>108</v>
      </c>
      <c r="H31" s="294" t="s">
        <v>113</v>
      </c>
      <c r="I31" s="173" t="s">
        <v>109</v>
      </c>
      <c r="J31" s="274" t="s">
        <v>80</v>
      </c>
      <c r="K31" s="275" t="s">
        <v>79</v>
      </c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</row>
    <row r="32" spans="1:25">
      <c r="A32" s="169"/>
      <c r="B32" s="169"/>
      <c r="C32" s="169"/>
      <c r="D32" s="169"/>
      <c r="E32" s="169"/>
      <c r="F32" s="169"/>
      <c r="G32" s="271" t="s">
        <v>77</v>
      </c>
      <c r="H32" s="172">
        <v>200</v>
      </c>
      <c r="I32" s="276">
        <f>H32/$H$34</f>
        <v>0.22831050228310501</v>
      </c>
      <c r="J32" s="280">
        <v>7195.1203346486</v>
      </c>
      <c r="K32" s="285">
        <v>6536.0503432102496</v>
      </c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</row>
    <row r="33" spans="1:25" ht="14.6" customHeight="1">
      <c r="A33" s="169"/>
      <c r="B33" s="169"/>
      <c r="C33" s="169"/>
      <c r="D33" s="169"/>
      <c r="E33" s="169"/>
      <c r="F33" s="169"/>
      <c r="G33" s="5"/>
      <c r="H33" s="247">
        <v>350</v>
      </c>
      <c r="I33" s="276">
        <f>H33/$H$34</f>
        <v>0.3995433789954338</v>
      </c>
      <c r="J33" s="281">
        <v>5983.1684512420597</v>
      </c>
      <c r="K33" s="284">
        <v>5471.2941455727596</v>
      </c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</row>
    <row r="34" spans="1:25">
      <c r="A34" s="169"/>
      <c r="B34" s="169"/>
      <c r="C34" s="169"/>
      <c r="D34" s="169"/>
      <c r="E34" s="169"/>
      <c r="F34" s="169"/>
      <c r="G34" s="272" t="s">
        <v>78</v>
      </c>
      <c r="H34" s="247">
        <v>876</v>
      </c>
      <c r="I34" s="276">
        <f t="shared" ref="I34:I36" si="8">H34/$H$34</f>
        <v>1</v>
      </c>
      <c r="J34" s="281">
        <v>5344.3932971014501</v>
      </c>
      <c r="K34" s="284">
        <v>6429.3960144927496</v>
      </c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</row>
    <row r="35" spans="1:25">
      <c r="A35" s="169"/>
      <c r="B35" s="169"/>
      <c r="C35" s="169"/>
      <c r="D35" s="169"/>
      <c r="E35" s="169"/>
      <c r="F35" s="169"/>
      <c r="G35" s="272"/>
      <c r="H35" s="247">
        <v>1344</v>
      </c>
      <c r="I35" s="276">
        <f t="shared" si="8"/>
        <v>1.5342465753424657</v>
      </c>
      <c r="J35" s="281">
        <v>7073.7890398550899</v>
      </c>
      <c r="K35" s="284">
        <v>10420.788607306</v>
      </c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</row>
    <row r="36" spans="1:25">
      <c r="A36" s="169"/>
      <c r="B36" s="169"/>
      <c r="C36" s="169"/>
      <c r="D36" s="169"/>
      <c r="E36" s="169"/>
      <c r="F36" s="169"/>
      <c r="G36" s="273" t="s">
        <v>76</v>
      </c>
      <c r="H36" s="215">
        <v>1534</v>
      </c>
      <c r="I36" s="276">
        <f t="shared" si="8"/>
        <v>1.7511415525114156</v>
      </c>
      <c r="J36" s="282">
        <v>8057.7465601218</v>
      </c>
      <c r="K36" s="295">
        <v>12451.214786910199</v>
      </c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</row>
    <row r="37" spans="1:25">
      <c r="A37" s="169"/>
      <c r="B37" s="169"/>
      <c r="C37" s="169"/>
      <c r="D37" s="169"/>
      <c r="E37" s="169"/>
      <c r="F37" s="247"/>
      <c r="G37" s="299" t="s">
        <v>112</v>
      </c>
      <c r="H37" s="299"/>
      <c r="I37" s="299"/>
      <c r="J37" s="299"/>
      <c r="K37" s="299"/>
      <c r="L37" s="247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</row>
    <row r="38" spans="1:25">
      <c r="A38" s="169"/>
      <c r="B38" s="169"/>
      <c r="C38" s="169"/>
      <c r="D38" s="169"/>
      <c r="E38" s="169"/>
      <c r="F38" s="247"/>
      <c r="G38" s="300"/>
      <c r="H38" s="300"/>
      <c r="I38" s="300"/>
      <c r="J38" s="300"/>
      <c r="K38" s="300"/>
      <c r="L38" s="247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</row>
    <row r="39" spans="1:25">
      <c r="A39" s="169"/>
      <c r="B39" s="169"/>
      <c r="C39" s="169"/>
      <c r="D39" s="169"/>
      <c r="E39" s="169"/>
      <c r="F39" s="247"/>
      <c r="G39" s="300"/>
      <c r="H39" s="300"/>
      <c r="I39" s="300"/>
      <c r="J39" s="300"/>
      <c r="K39" s="300"/>
      <c r="L39" s="247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</row>
    <row r="40" spans="1:25">
      <c r="A40" s="169"/>
      <c r="B40" s="169"/>
      <c r="C40" s="169"/>
      <c r="D40" s="169"/>
      <c r="E40" s="169"/>
      <c r="F40" s="247"/>
      <c r="G40" s="247"/>
      <c r="H40" s="247"/>
      <c r="I40" s="276"/>
      <c r="J40" s="281"/>
      <c r="K40" s="283"/>
      <c r="L40" s="247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</row>
    <row r="41" spans="1:25">
      <c r="A41" s="169"/>
      <c r="B41" s="169"/>
      <c r="C41" s="169"/>
      <c r="D41" s="169"/>
      <c r="E41" s="169"/>
      <c r="F41" s="247"/>
      <c r="G41" s="247"/>
      <c r="H41" s="247"/>
      <c r="I41" s="277"/>
      <c r="J41" s="281"/>
      <c r="K41" s="283"/>
      <c r="L41" s="247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</row>
    <row r="42" spans="1:25">
      <c r="A42" s="169"/>
      <c r="B42" s="169"/>
      <c r="C42" s="169"/>
      <c r="D42" s="169"/>
      <c r="E42" s="169"/>
      <c r="F42" s="247"/>
      <c r="G42" s="247"/>
      <c r="H42" s="247"/>
      <c r="I42" s="276"/>
      <c r="J42" s="281"/>
      <c r="K42" s="283"/>
      <c r="L42" s="247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</row>
    <row r="43" spans="1:25">
      <c r="A43" s="169"/>
      <c r="B43" s="169"/>
      <c r="C43" s="169"/>
      <c r="D43" s="169"/>
      <c r="E43" s="169"/>
      <c r="F43" s="247"/>
      <c r="G43" s="293"/>
      <c r="H43" s="247"/>
      <c r="I43" s="277"/>
      <c r="J43" s="281"/>
      <c r="K43" s="283"/>
      <c r="L43" s="247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</row>
    <row r="44" spans="1:25">
      <c r="A44" s="169"/>
      <c r="B44" s="169"/>
      <c r="C44" s="169"/>
      <c r="D44" s="169"/>
      <c r="E44" s="169"/>
      <c r="F44" s="247"/>
      <c r="G44" s="292"/>
      <c r="H44" s="247"/>
      <c r="I44" s="276"/>
      <c r="J44" s="281"/>
      <c r="K44" s="283"/>
      <c r="L44" s="247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</row>
    <row r="45" spans="1:25">
      <c r="A45" s="169"/>
      <c r="B45" s="169"/>
      <c r="C45" s="169"/>
      <c r="D45" s="169"/>
      <c r="E45" s="169"/>
      <c r="F45" s="247"/>
      <c r="G45" s="292"/>
      <c r="H45" s="247"/>
      <c r="I45" s="277"/>
      <c r="J45" s="283"/>
      <c r="K45" s="281"/>
      <c r="L45" s="247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</row>
    <row r="46" spans="1:25">
      <c r="A46" s="169"/>
      <c r="B46" s="169"/>
      <c r="C46" s="169"/>
      <c r="D46" s="169"/>
      <c r="E46" s="169"/>
      <c r="F46" s="247"/>
      <c r="G46" s="292"/>
      <c r="H46" s="247"/>
      <c r="I46" s="276"/>
      <c r="J46" s="283"/>
      <c r="K46" s="281"/>
      <c r="L46" s="247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</row>
    <row r="47" spans="1:25">
      <c r="A47" s="169"/>
      <c r="B47" s="169"/>
      <c r="C47" s="169"/>
      <c r="D47" s="169"/>
      <c r="E47" s="169"/>
      <c r="F47" s="247"/>
      <c r="G47" s="292"/>
      <c r="H47" s="247"/>
      <c r="I47" s="277"/>
      <c r="J47" s="283"/>
      <c r="K47" s="281"/>
      <c r="L47" s="247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</row>
    <row r="48" spans="1:25">
      <c r="A48" s="169"/>
      <c r="B48" s="169"/>
      <c r="C48" s="169"/>
      <c r="D48" s="169"/>
      <c r="E48" s="169"/>
      <c r="F48" s="247"/>
      <c r="G48" s="292"/>
      <c r="H48" s="247"/>
      <c r="I48" s="276"/>
      <c r="J48" s="283"/>
      <c r="K48" s="281"/>
      <c r="L48" s="247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</row>
    <row r="49" spans="1:25">
      <c r="A49" s="169"/>
      <c r="B49" s="169"/>
      <c r="C49" s="169"/>
      <c r="D49" s="169"/>
      <c r="E49" s="169"/>
      <c r="F49" s="247"/>
      <c r="G49" s="292"/>
      <c r="H49" s="247"/>
      <c r="I49" s="277"/>
      <c r="J49" s="283"/>
      <c r="K49" s="281"/>
      <c r="L49" s="247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</row>
    <row r="50" spans="1:25">
      <c r="A50" s="169"/>
      <c r="B50" s="169"/>
      <c r="C50" s="169"/>
      <c r="D50" s="169"/>
      <c r="E50" s="171"/>
      <c r="F50" s="247"/>
      <c r="G50" s="247"/>
      <c r="H50" s="247"/>
      <c r="I50" s="276"/>
      <c r="J50" s="283"/>
      <c r="K50" s="281"/>
      <c r="L50" s="247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</row>
    <row r="51" spans="1:25">
      <c r="A51" s="169"/>
      <c r="B51" s="169"/>
      <c r="C51" s="169"/>
      <c r="D51" s="169"/>
      <c r="E51" s="171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</row>
    <row r="52" spans="1:25">
      <c r="A52" s="169"/>
      <c r="B52" s="169"/>
      <c r="C52" s="169"/>
      <c r="D52" s="169"/>
      <c r="E52" s="171"/>
      <c r="F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</row>
    <row r="53" spans="1:25">
      <c r="A53" s="169"/>
      <c r="B53" s="169"/>
      <c r="C53" s="169"/>
      <c r="D53" s="169"/>
      <c r="E53" s="171"/>
      <c r="F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</row>
    <row r="54" spans="1:25">
      <c r="A54" s="169"/>
      <c r="B54" s="169"/>
      <c r="C54" s="169"/>
      <c r="D54" s="169"/>
      <c r="E54" s="171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</row>
    <row r="55" spans="1:25">
      <c r="A55" s="169"/>
      <c r="B55" s="169"/>
      <c r="C55" s="169"/>
      <c r="D55" s="169"/>
      <c r="E55" s="171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</row>
    <row r="56" spans="1:25">
      <c r="A56" s="169"/>
      <c r="B56" s="169"/>
      <c r="C56" s="169"/>
      <c r="D56" s="169"/>
      <c r="E56" s="171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</row>
    <row r="57" spans="1: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</row>
    <row r="58" spans="1: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</row>
    <row r="59" spans="1: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</row>
    <row r="60" spans="1: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</row>
    <row r="61" spans="1: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</row>
    <row r="62" spans="1: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</row>
    <row r="63" spans="1: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</row>
    <row r="64" spans="1: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</row>
    <row r="65" spans="1:24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</row>
    <row r="66" spans="1:24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</row>
    <row r="67" spans="1:24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</row>
    <row r="68" spans="1:24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</row>
    <row r="69" spans="1:24">
      <c r="A69" s="169"/>
      <c r="B69" s="169"/>
      <c r="C69" s="169"/>
      <c r="D69" s="169"/>
      <c r="E69" s="169"/>
      <c r="F69" s="169"/>
      <c r="G69" s="301" t="s">
        <v>114</v>
      </c>
      <c r="H69" s="302">
        <f>(0.7-I32)/(I36-I32)</f>
        <v>0.30974512743628185</v>
      </c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</row>
    <row r="70" spans="1:24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</row>
    <row r="71" spans="1:24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</row>
    <row r="72" spans="1:24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</row>
    <row r="73" spans="1:24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</row>
  </sheetData>
  <mergeCells count="12">
    <mergeCell ref="H3:H4"/>
    <mergeCell ref="G30:I30"/>
    <mergeCell ref="G37:K39"/>
    <mergeCell ref="A4:C4"/>
    <mergeCell ref="J30:K30"/>
    <mergeCell ref="W3:X3"/>
    <mergeCell ref="R4:R5"/>
    <mergeCell ref="S3:T3"/>
    <mergeCell ref="I3:J3"/>
    <mergeCell ref="F3:F4"/>
    <mergeCell ref="M3:Q3"/>
    <mergeCell ref="K3:L3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DD7F-8121-4CB6-882C-498D57450345}">
  <dimension ref="A2:R22"/>
  <sheetViews>
    <sheetView workbookViewId="0">
      <selection activeCell="E2" sqref="E2"/>
    </sheetView>
  </sheetViews>
  <sheetFormatPr defaultRowHeight="14.6"/>
  <cols>
    <col min="1" max="1" width="11.23046875" customWidth="1"/>
    <col min="2" max="2" width="4.53515625" customWidth="1"/>
    <col min="3" max="3" width="10.07421875" customWidth="1"/>
    <col min="4" max="4" width="2.84375" customWidth="1"/>
    <col min="9" max="9" width="16.921875" customWidth="1"/>
    <col min="10" max="10" width="15.61328125" customWidth="1"/>
    <col min="14" max="14" width="14.3828125" customWidth="1"/>
    <col min="16" max="16" width="2.53515625" customWidth="1"/>
    <col min="19" max="19" width="12.3828125" bestFit="1" customWidth="1"/>
  </cols>
  <sheetData>
    <row r="2" spans="1:18">
      <c r="E2" s="51" t="s">
        <v>56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</row>
    <row r="3" spans="1:18">
      <c r="E3" s="33"/>
      <c r="F3" s="8"/>
      <c r="H3" s="2"/>
      <c r="I3" s="164" t="s">
        <v>1</v>
      </c>
      <c r="J3" s="165"/>
      <c r="K3" s="164" t="s">
        <v>35</v>
      </c>
      <c r="L3" s="165"/>
      <c r="M3" s="165"/>
      <c r="N3" s="166"/>
      <c r="O3" s="54" t="s">
        <v>21</v>
      </c>
      <c r="Q3" s="167" t="s">
        <v>49</v>
      </c>
      <c r="R3" s="168"/>
    </row>
    <row r="4" spans="1:18">
      <c r="E4" s="5" t="s">
        <v>7</v>
      </c>
      <c r="F4" s="3" t="s">
        <v>20</v>
      </c>
      <c r="G4" s="44" t="s">
        <v>23</v>
      </c>
      <c r="H4" s="3" t="s">
        <v>2</v>
      </c>
      <c r="I4" s="5" t="s">
        <v>25</v>
      </c>
      <c r="J4" s="44" t="s">
        <v>34</v>
      </c>
      <c r="K4" s="5" t="s">
        <v>4</v>
      </c>
      <c r="L4" s="44" t="s">
        <v>5</v>
      </c>
      <c r="M4" s="44" t="s">
        <v>41</v>
      </c>
      <c r="N4" s="3" t="s">
        <v>51</v>
      </c>
      <c r="O4" s="45"/>
      <c r="Q4" s="5" t="s">
        <v>42</v>
      </c>
      <c r="R4" s="2" t="s">
        <v>47</v>
      </c>
    </row>
    <row r="5" spans="1:18">
      <c r="E5" s="5"/>
      <c r="F5" s="3" t="s">
        <v>26</v>
      </c>
      <c r="G5" s="44" t="s">
        <v>3</v>
      </c>
      <c r="H5" s="3" t="s">
        <v>0</v>
      </c>
      <c r="I5" s="10" t="s">
        <v>33</v>
      </c>
      <c r="J5" s="44" t="s">
        <v>0</v>
      </c>
      <c r="K5" s="5" t="s">
        <v>27</v>
      </c>
      <c r="L5" s="44" t="s">
        <v>27</v>
      </c>
      <c r="M5" s="44" t="s">
        <v>27</v>
      </c>
      <c r="N5" s="3" t="s">
        <v>50</v>
      </c>
      <c r="O5" s="11"/>
      <c r="Q5" s="1"/>
      <c r="R5" s="2"/>
    </row>
    <row r="6" spans="1:18">
      <c r="A6" s="161" t="s">
        <v>36</v>
      </c>
      <c r="B6" s="162"/>
      <c r="C6" s="163"/>
      <c r="E6" s="7"/>
      <c r="F6" s="6" t="s">
        <v>37</v>
      </c>
      <c r="G6" s="9" t="s">
        <v>37</v>
      </c>
      <c r="H6" s="3" t="s">
        <v>28</v>
      </c>
      <c r="I6" s="7" t="s">
        <v>28</v>
      </c>
      <c r="J6" s="9" t="s">
        <v>28</v>
      </c>
      <c r="K6" s="7" t="s">
        <v>28</v>
      </c>
      <c r="L6" s="9" t="s">
        <v>28</v>
      </c>
      <c r="M6" s="9" t="s">
        <v>28</v>
      </c>
      <c r="N6" s="6" t="s">
        <v>28</v>
      </c>
      <c r="O6" s="12" t="s">
        <v>28</v>
      </c>
      <c r="Q6" s="4" t="s">
        <v>48</v>
      </c>
      <c r="R6" s="6" t="s">
        <v>44</v>
      </c>
    </row>
    <row r="7" spans="1:18">
      <c r="A7" s="33" t="s">
        <v>6</v>
      </c>
      <c r="B7" s="48">
        <v>22</v>
      </c>
      <c r="C7" s="8" t="s">
        <v>38</v>
      </c>
      <c r="E7" s="31" t="s">
        <v>8</v>
      </c>
      <c r="F7" s="34">
        <v>-2</v>
      </c>
      <c r="G7" s="65">
        <f>$B$7-F7</f>
        <v>24</v>
      </c>
      <c r="H7" s="55">
        <f>-$B$12*$B$10*G7</f>
        <v>-37.44</v>
      </c>
      <c r="I7" s="75">
        <f t="shared" ref="I7:I18" si="0">$B$9*R7*0.6</f>
        <v>298.34999999999997</v>
      </c>
      <c r="J7" s="76">
        <f t="shared" ref="J7:J18" si="1">-0.8*$B$9*G7</f>
        <v>-299.52</v>
      </c>
      <c r="K7" s="55">
        <f t="shared" ref="K7:K18" si="2">$B$11*90*$B$8</f>
        <v>468.75</v>
      </c>
      <c r="L7" s="55">
        <f t="shared" ref="L7:L18" si="3">$B$11*0.5*30*$B$8</f>
        <v>78.125</v>
      </c>
      <c r="M7" s="34">
        <f>16*1</f>
        <v>16</v>
      </c>
      <c r="N7" s="55">
        <f>-0.33*5*70*G7/3</f>
        <v>-924.00000000000011</v>
      </c>
      <c r="O7" s="95">
        <f t="shared" ref="O7:O18" si="4">H7+I7+N7+J7+K7+L7+M7</f>
        <v>-399.73500000000013</v>
      </c>
      <c r="P7" s="34"/>
      <c r="Q7" s="105">
        <v>1.53</v>
      </c>
      <c r="R7" s="76">
        <f t="shared" ref="R7:R18" si="5">Q7*1000/24*0.5</f>
        <v>31.875</v>
      </c>
    </row>
    <row r="8" spans="1:18">
      <c r="A8" s="1" t="s">
        <v>22</v>
      </c>
      <c r="B8">
        <v>25</v>
      </c>
      <c r="C8" s="2" t="s">
        <v>24</v>
      </c>
      <c r="E8" s="13" t="s">
        <v>9</v>
      </c>
      <c r="F8" s="35">
        <v>-0.6</v>
      </c>
      <c r="G8" s="66">
        <f t="shared" ref="G8:G18" si="6">$B$7-F8</f>
        <v>22.6</v>
      </c>
      <c r="H8" s="56">
        <f t="shared" ref="H8:H18" si="7">-$B$12*$B$10*G8</f>
        <v>-35.256</v>
      </c>
      <c r="I8" s="77">
        <f t="shared" si="0"/>
        <v>495.29999999999995</v>
      </c>
      <c r="J8" s="78">
        <f t="shared" si="1"/>
        <v>-282.048</v>
      </c>
      <c r="K8" s="56">
        <f t="shared" si="2"/>
        <v>468.75</v>
      </c>
      <c r="L8" s="56">
        <f t="shared" si="3"/>
        <v>78.125</v>
      </c>
      <c r="M8" s="35">
        <f t="shared" ref="M8:M18" si="8">16*1</f>
        <v>16</v>
      </c>
      <c r="N8" s="56">
        <f t="shared" ref="N8:N18" si="9">-0.33*5*70*G8/3</f>
        <v>-870.10000000000025</v>
      </c>
      <c r="O8" s="96">
        <f t="shared" si="4"/>
        <v>-129.22900000000027</v>
      </c>
      <c r="P8" s="35"/>
      <c r="Q8" s="106">
        <v>2.54</v>
      </c>
      <c r="R8" s="78">
        <f t="shared" si="5"/>
        <v>52.916666666666664</v>
      </c>
    </row>
    <row r="9" spans="1:18">
      <c r="A9" s="1" t="s">
        <v>29</v>
      </c>
      <c r="B9" s="50">
        <f>7.8*2</f>
        <v>15.6</v>
      </c>
      <c r="C9" s="2" t="s">
        <v>39</v>
      </c>
      <c r="E9" s="15" t="s">
        <v>10</v>
      </c>
      <c r="F9" s="36">
        <v>3.1</v>
      </c>
      <c r="G9" s="67">
        <f t="shared" si="6"/>
        <v>18.899999999999999</v>
      </c>
      <c r="H9" s="57">
        <f t="shared" si="7"/>
        <v>-29.483999999999998</v>
      </c>
      <c r="I9" s="79">
        <f t="shared" si="0"/>
        <v>727.35</v>
      </c>
      <c r="J9" s="80">
        <f t="shared" si="1"/>
        <v>-235.87199999999999</v>
      </c>
      <c r="K9" s="57">
        <f t="shared" si="2"/>
        <v>468.75</v>
      </c>
      <c r="L9" s="57">
        <f t="shared" si="3"/>
        <v>78.125</v>
      </c>
      <c r="M9" s="36">
        <f t="shared" si="8"/>
        <v>16</v>
      </c>
      <c r="N9" s="57">
        <f t="shared" si="9"/>
        <v>-727.65000000000009</v>
      </c>
      <c r="O9" s="115">
        <f t="shared" si="4"/>
        <v>297.21899999999994</v>
      </c>
      <c r="P9" s="36"/>
      <c r="Q9" s="107">
        <v>3.73</v>
      </c>
      <c r="R9" s="80">
        <f t="shared" si="5"/>
        <v>77.708333333333329</v>
      </c>
    </row>
    <row r="10" spans="1:18">
      <c r="A10" s="1" t="s">
        <v>30</v>
      </c>
      <c r="B10" s="50">
        <f>7.8*1</f>
        <v>7.8</v>
      </c>
      <c r="C10" s="2" t="s">
        <v>39</v>
      </c>
      <c r="E10" s="17" t="s">
        <v>11</v>
      </c>
      <c r="F10" s="37">
        <v>7.9</v>
      </c>
      <c r="G10" s="68">
        <f t="shared" si="6"/>
        <v>14.1</v>
      </c>
      <c r="H10" s="58">
        <f t="shared" si="7"/>
        <v>-21.995999999999999</v>
      </c>
      <c r="I10" s="81">
        <f t="shared" si="0"/>
        <v>988.65</v>
      </c>
      <c r="J10" s="82">
        <f t="shared" si="1"/>
        <v>-175.96799999999999</v>
      </c>
      <c r="K10" s="58">
        <f t="shared" si="2"/>
        <v>468.75</v>
      </c>
      <c r="L10" s="58">
        <f t="shared" si="3"/>
        <v>78.125</v>
      </c>
      <c r="M10" s="37">
        <f t="shared" si="8"/>
        <v>16</v>
      </c>
      <c r="N10" s="58">
        <f t="shared" si="9"/>
        <v>-542.85</v>
      </c>
      <c r="O10" s="116">
        <f t="shared" si="4"/>
        <v>810.71100000000001</v>
      </c>
      <c r="P10" s="37"/>
      <c r="Q10" s="108">
        <v>5.07</v>
      </c>
      <c r="R10" s="82">
        <f t="shared" si="5"/>
        <v>105.625</v>
      </c>
    </row>
    <row r="11" spans="1:18">
      <c r="A11" s="1" t="s">
        <v>31</v>
      </c>
      <c r="B11" s="49">
        <f>5/24</f>
        <v>0.20833333333333334</v>
      </c>
      <c r="C11" s="2" t="s">
        <v>32</v>
      </c>
      <c r="E11" s="19" t="s">
        <v>12</v>
      </c>
      <c r="F11" s="38">
        <v>12.9</v>
      </c>
      <c r="G11" s="69">
        <f t="shared" si="6"/>
        <v>9.1</v>
      </c>
      <c r="H11" s="59">
        <f t="shared" si="7"/>
        <v>-14.196</v>
      </c>
      <c r="I11" s="83">
        <f t="shared" si="0"/>
        <v>1035.45</v>
      </c>
      <c r="J11" s="84">
        <f t="shared" si="1"/>
        <v>-113.568</v>
      </c>
      <c r="K11" s="59">
        <f t="shared" si="2"/>
        <v>468.75</v>
      </c>
      <c r="L11" s="59">
        <f t="shared" si="3"/>
        <v>78.125</v>
      </c>
      <c r="M11" s="38">
        <f t="shared" si="8"/>
        <v>16</v>
      </c>
      <c r="N11" s="59">
        <f t="shared" si="9"/>
        <v>-350.35000000000008</v>
      </c>
      <c r="O11" s="117">
        <f t="shared" si="4"/>
        <v>1120.211</v>
      </c>
      <c r="P11" s="38"/>
      <c r="Q11" s="109">
        <v>5.31</v>
      </c>
      <c r="R11" s="84">
        <f t="shared" si="5"/>
        <v>110.625</v>
      </c>
    </row>
    <row r="12" spans="1:18">
      <c r="A12" s="1" t="s">
        <v>54</v>
      </c>
      <c r="B12">
        <v>0.2</v>
      </c>
      <c r="C12" s="2" t="s">
        <v>40</v>
      </c>
      <c r="E12" s="21" t="s">
        <v>13</v>
      </c>
      <c r="F12" s="39">
        <v>16</v>
      </c>
      <c r="G12" s="70">
        <f t="shared" si="6"/>
        <v>6</v>
      </c>
      <c r="H12" s="60">
        <f t="shared" si="7"/>
        <v>-9.36</v>
      </c>
      <c r="I12" s="85">
        <f t="shared" si="0"/>
        <v>1109.55</v>
      </c>
      <c r="J12" s="86">
        <f t="shared" si="1"/>
        <v>-74.88</v>
      </c>
      <c r="K12" s="60">
        <f t="shared" si="2"/>
        <v>468.75</v>
      </c>
      <c r="L12" s="60">
        <f t="shared" si="3"/>
        <v>78.125</v>
      </c>
      <c r="M12" s="39">
        <f t="shared" si="8"/>
        <v>16</v>
      </c>
      <c r="N12" s="60">
        <f t="shared" si="9"/>
        <v>-231.00000000000003</v>
      </c>
      <c r="O12" s="118">
        <f t="shared" si="4"/>
        <v>1357.1849999999999</v>
      </c>
      <c r="P12" s="39"/>
      <c r="Q12" s="110">
        <v>5.69</v>
      </c>
      <c r="R12" s="86">
        <f t="shared" si="5"/>
        <v>118.54166666666667</v>
      </c>
    </row>
    <row r="13" spans="1:18">
      <c r="A13" s="4" t="s">
        <v>55</v>
      </c>
      <c r="B13" s="47">
        <v>0.7</v>
      </c>
      <c r="C13" s="46" t="s">
        <v>40</v>
      </c>
      <c r="E13" s="23" t="s">
        <v>14</v>
      </c>
      <c r="F13" s="40">
        <v>17.600000000000001</v>
      </c>
      <c r="G13" s="71">
        <f t="shared" si="6"/>
        <v>4.3999999999999986</v>
      </c>
      <c r="H13" s="61">
        <f t="shared" si="7"/>
        <v>-6.8639999999999981</v>
      </c>
      <c r="I13" s="87">
        <f t="shared" si="0"/>
        <v>1095.8999999999999</v>
      </c>
      <c r="J13" s="88">
        <f t="shared" si="1"/>
        <v>-54.911999999999985</v>
      </c>
      <c r="K13" s="61">
        <f t="shared" si="2"/>
        <v>468.75</v>
      </c>
      <c r="L13" s="61">
        <f t="shared" si="3"/>
        <v>78.125</v>
      </c>
      <c r="M13" s="40">
        <f t="shared" si="8"/>
        <v>16</v>
      </c>
      <c r="N13" s="61">
        <f t="shared" si="9"/>
        <v>-169.39999999999995</v>
      </c>
      <c r="O13" s="119">
        <f t="shared" si="4"/>
        <v>1427.5989999999997</v>
      </c>
      <c r="P13" s="40"/>
      <c r="Q13" s="111">
        <v>5.62</v>
      </c>
      <c r="R13" s="88">
        <f t="shared" si="5"/>
        <v>117.08333333333333</v>
      </c>
    </row>
    <row r="14" spans="1:18">
      <c r="E14" s="23" t="s">
        <v>15</v>
      </c>
      <c r="F14" s="40">
        <v>17.3</v>
      </c>
      <c r="G14" s="71">
        <f t="shared" si="6"/>
        <v>4.6999999999999993</v>
      </c>
      <c r="H14" s="61">
        <f t="shared" si="7"/>
        <v>-7.331999999999999</v>
      </c>
      <c r="I14" s="87">
        <f t="shared" si="0"/>
        <v>1010.0999999999999</v>
      </c>
      <c r="J14" s="88">
        <f t="shared" si="1"/>
        <v>-58.655999999999992</v>
      </c>
      <c r="K14" s="61">
        <f t="shared" si="2"/>
        <v>468.75</v>
      </c>
      <c r="L14" s="61">
        <f t="shared" si="3"/>
        <v>78.125</v>
      </c>
      <c r="M14" s="40">
        <f t="shared" si="8"/>
        <v>16</v>
      </c>
      <c r="N14" s="61">
        <f t="shared" si="9"/>
        <v>-180.95000000000002</v>
      </c>
      <c r="O14" s="119">
        <f t="shared" si="4"/>
        <v>1326.0369999999998</v>
      </c>
      <c r="P14" s="40"/>
      <c r="Q14" s="111">
        <v>5.18</v>
      </c>
      <c r="R14" s="88">
        <f t="shared" si="5"/>
        <v>107.91666666666667</v>
      </c>
    </row>
    <row r="15" spans="1:18">
      <c r="E15" s="25" t="s">
        <v>16</v>
      </c>
      <c r="F15" s="41">
        <v>13.3</v>
      </c>
      <c r="G15" s="72">
        <f t="shared" si="6"/>
        <v>8.6999999999999993</v>
      </c>
      <c r="H15" s="62">
        <f t="shared" si="7"/>
        <v>-13.571999999999999</v>
      </c>
      <c r="I15" s="89">
        <f t="shared" si="0"/>
        <v>867.75</v>
      </c>
      <c r="J15" s="90">
        <f t="shared" si="1"/>
        <v>-108.57599999999999</v>
      </c>
      <c r="K15" s="62">
        <f t="shared" si="2"/>
        <v>468.75</v>
      </c>
      <c r="L15" s="62">
        <f t="shared" si="3"/>
        <v>78.125</v>
      </c>
      <c r="M15" s="41">
        <f t="shared" si="8"/>
        <v>16</v>
      </c>
      <c r="N15" s="62">
        <f t="shared" si="9"/>
        <v>-334.95</v>
      </c>
      <c r="O15" s="120">
        <f t="shared" si="4"/>
        <v>973.52700000000004</v>
      </c>
      <c r="P15" s="41"/>
      <c r="Q15" s="112">
        <v>4.45</v>
      </c>
      <c r="R15" s="90">
        <f t="shared" si="5"/>
        <v>92.708333333333329</v>
      </c>
    </row>
    <row r="16" spans="1:18">
      <c r="E16" s="17" t="s">
        <v>17</v>
      </c>
      <c r="F16" s="37">
        <v>8.1999999999999993</v>
      </c>
      <c r="G16" s="68">
        <f t="shared" si="6"/>
        <v>13.8</v>
      </c>
      <c r="H16" s="58">
        <f t="shared" si="7"/>
        <v>-21.528000000000002</v>
      </c>
      <c r="I16" s="81">
        <f t="shared" si="0"/>
        <v>590.85</v>
      </c>
      <c r="J16" s="82">
        <f t="shared" si="1"/>
        <v>-172.22400000000002</v>
      </c>
      <c r="K16" s="58">
        <f t="shared" si="2"/>
        <v>468.75</v>
      </c>
      <c r="L16" s="58">
        <f t="shared" si="3"/>
        <v>78.125</v>
      </c>
      <c r="M16" s="37">
        <f t="shared" si="8"/>
        <v>16</v>
      </c>
      <c r="N16" s="58">
        <f t="shared" si="9"/>
        <v>-531.30000000000007</v>
      </c>
      <c r="O16" s="116">
        <f t="shared" si="4"/>
        <v>428.67299999999989</v>
      </c>
      <c r="P16" s="37"/>
      <c r="Q16" s="108">
        <v>3.03</v>
      </c>
      <c r="R16" s="82">
        <f t="shared" si="5"/>
        <v>63.125</v>
      </c>
    </row>
    <row r="17" spans="5:18">
      <c r="E17" s="27" t="s">
        <v>18</v>
      </c>
      <c r="F17" s="42">
        <v>2.9</v>
      </c>
      <c r="G17" s="73">
        <f t="shared" si="6"/>
        <v>19.100000000000001</v>
      </c>
      <c r="H17" s="63">
        <f t="shared" si="7"/>
        <v>-29.796000000000003</v>
      </c>
      <c r="I17" s="91">
        <f t="shared" si="0"/>
        <v>325.64999999999998</v>
      </c>
      <c r="J17" s="92">
        <f t="shared" si="1"/>
        <v>-238.36800000000002</v>
      </c>
      <c r="K17" s="63">
        <f t="shared" si="2"/>
        <v>468.75</v>
      </c>
      <c r="L17" s="63">
        <f t="shared" si="3"/>
        <v>78.125</v>
      </c>
      <c r="M17" s="42">
        <f t="shared" si="8"/>
        <v>16</v>
      </c>
      <c r="N17" s="63">
        <f t="shared" si="9"/>
        <v>-735.35000000000025</v>
      </c>
      <c r="O17" s="103">
        <f t="shared" si="4"/>
        <v>-114.98900000000026</v>
      </c>
      <c r="P17" s="42"/>
      <c r="Q17" s="113">
        <v>1.67</v>
      </c>
      <c r="R17" s="92">
        <f t="shared" si="5"/>
        <v>34.791666666666664</v>
      </c>
    </row>
    <row r="18" spans="5:18">
      <c r="E18" s="29" t="s">
        <v>19</v>
      </c>
      <c r="F18" s="43">
        <v>-0.5</v>
      </c>
      <c r="G18" s="74">
        <f t="shared" si="6"/>
        <v>22.5</v>
      </c>
      <c r="H18" s="64">
        <f t="shared" si="7"/>
        <v>-35.1</v>
      </c>
      <c r="I18" s="93">
        <f t="shared" si="0"/>
        <v>267.14999999999998</v>
      </c>
      <c r="J18" s="94">
        <f t="shared" si="1"/>
        <v>-280.8</v>
      </c>
      <c r="K18" s="64">
        <f t="shared" si="2"/>
        <v>468.75</v>
      </c>
      <c r="L18" s="64">
        <f t="shared" si="3"/>
        <v>78.125</v>
      </c>
      <c r="M18" s="43">
        <f t="shared" si="8"/>
        <v>16</v>
      </c>
      <c r="N18" s="64">
        <f t="shared" si="9"/>
        <v>-866.25000000000011</v>
      </c>
      <c r="O18" s="104">
        <f t="shared" si="4"/>
        <v>-352.12500000000023</v>
      </c>
      <c r="P18" s="43"/>
      <c r="Q18" s="114">
        <v>1.37</v>
      </c>
      <c r="R18" s="94">
        <f t="shared" si="5"/>
        <v>28.541666666666668</v>
      </c>
    </row>
    <row r="20" spans="5:18">
      <c r="E20" t="s">
        <v>46</v>
      </c>
    </row>
    <row r="21" spans="5:18">
      <c r="E21" t="s">
        <v>43</v>
      </c>
    </row>
    <row r="22" spans="5:18">
      <c r="E22" t="s">
        <v>45</v>
      </c>
    </row>
  </sheetData>
  <mergeCells count="4">
    <mergeCell ref="I3:J3"/>
    <mergeCell ref="K3:N3"/>
    <mergeCell ref="Q3:R3"/>
    <mergeCell ref="A6:C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FYH2H5PH73RI2K27GVE3TR3IAR7WCOVE:ms-officescript%3A%2F%2Fonedrive_business_sharinglink%2Fu!aHR0cHM6Ly9jYW1wdXNjdnV0LW15LnNoYXJlcG9pbnQuY29tLzp1Oi9nL3BlcnNvbmFsL3BsdXNraHluX2N2dXRfY3ovSVFEbl91S05LMTgxU2JuSGFBUl9ZVHFrQWY3WFhjZXBBYk5TSmFDY3BGUllGdDA"/>
</scriptIds>
</file>

<file path=customXml/itemProps1.xml><?xml version="1.0" encoding="utf-8"?>
<ds:datastoreItem xmlns:ds="http://schemas.openxmlformats.org/officeDocument/2006/customXml" ds:itemID="{A1FAA81C-4978-4871-B5D1-8A4096356099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otopné období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Pluskal, Hynek</dc:creator>
  <cp:lastModifiedBy>Pluskal, Hynek</cp:lastModifiedBy>
  <dcterms:created xsi:type="dcterms:W3CDTF">2026-01-01T14:38:08Z</dcterms:created>
  <dcterms:modified xsi:type="dcterms:W3CDTF">2026-01-04T20:59:27Z</dcterms:modified>
</cp:coreProperties>
</file>